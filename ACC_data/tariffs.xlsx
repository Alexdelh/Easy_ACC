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persons/person.xml" ContentType="application/vnd.ms-excel.person+xml"/>
  <Override PartName="/xl/threadedComments/threadedComment1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Feuille1" sheetId="1" state="visible" r:id="rId2"/>
    <sheet name="Feuille2" sheetId="2" state="visible" r:id="rId3"/>
  </sheets>
  <calcPr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tc={58AC7E85-010E-7ACC-26B2-85994D056B4C}</author>
    <author>tc={D4AF7429-BD7F-0BCF-CB6D-AEECE931F1A4}</author>
  </authors>
  <commentList>
    <comment ref="C13" authorId="0" xr:uid="{58AC7E85-010E-7ACC-26B2-85994D056B4C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tarif unique non nommé
</t>
        </r>
      </text>
    </comment>
    <comment ref="F10" authorId="1" xr:uid="{D4AF7429-BD7F-0BCF-CB6D-AEECE931F1A4}">
      <text>
        <r>
          <rPr>
            <b/>
            <sz val="9"/>
            <rFont val="Tahoma"/>
          </rPr>
          <t xml:space="preserve">Thomas Picouet:</t>
        </r>
        <r>
          <rPr>
            <sz val="9"/>
            <rFont val="Tahoma"/>
          </rPr>
          <t xml:space="preserve">
2 tarifs possibles en 2026 : BAT et EP
</t>
        </r>
      </text>
    </comment>
  </commentList>
</comments>
</file>

<file path=xl/sharedStrings.xml><?xml version="1.0" encoding="utf-8"?>
<sst xmlns="http://schemas.openxmlformats.org/spreadsheetml/2006/main" count="25" uniqueCount="25">
  <si>
    <t xml:space="preserve">fournisseur de complément</t>
  </si>
  <si>
    <t xml:space="preserve">point de connexion</t>
  </si>
  <si>
    <t>utilisation</t>
  </si>
  <si>
    <t xml:space="preserve">plages temporelles</t>
  </si>
  <si>
    <t xml:space="preserve">prix abonnement (an)</t>
  </si>
  <si>
    <t>HPH</t>
  </si>
  <si>
    <t>HCH</t>
  </si>
  <si>
    <t>HPB</t>
  </si>
  <si>
    <t>HCB</t>
  </si>
  <si>
    <t xml:space="preserve">Total energies 2025</t>
  </si>
  <si>
    <t>C5</t>
  </si>
  <si>
    <t>CU</t>
  </si>
  <si>
    <t>LU</t>
  </si>
  <si>
    <t>MU</t>
  </si>
  <si>
    <t>C4</t>
  </si>
  <si>
    <t xml:space="preserve">Total energies 2026</t>
  </si>
  <si>
    <t xml:space="preserve">Engie piscine</t>
  </si>
  <si>
    <t>EDF</t>
  </si>
  <si>
    <t>Moyenne</t>
  </si>
  <si>
    <t>Abattoir</t>
  </si>
  <si>
    <t>HPE</t>
  </si>
  <si>
    <t>HCE</t>
  </si>
  <si>
    <t>HP</t>
  </si>
  <si>
    <t>HC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</si>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</sst>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0" formatCode="0.00000"/>
  </numFmts>
  <fonts count="2">
    <font>
      <sz val="11.000000"/>
      <color theme="1"/>
      <name val="Calibri"/>
      <scheme val="minor"/>
    </font>
    <font>
      <sz val="11.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 style="none"/>
    </border>
    <border>
      <left style="thin">
        <color rgb="FFCCCCCC"/>
      </left>
      <right style="none"/>
      <top style="thin">
        <color rgb="FFCCCCCC"/>
      </top>
      <bottom style="thin">
        <color rgb="FFCCCCCC"/>
      </bottom>
      <diagonal style="none"/>
    </border>
    <border>
      <left style="none"/>
      <right style="none"/>
      <top style="thin">
        <color rgb="FFCCCCCC"/>
      </top>
      <bottom style="thin">
        <color rgb="FFCCCCCC"/>
      </bottom>
      <diagonal style="none"/>
    </border>
    <border>
      <left style="none"/>
      <right style="thin">
        <color rgb="FFCCCCCC"/>
      </right>
      <top style="thin">
        <color rgb="FFCCCCCC"/>
      </top>
      <bottom style="thin">
        <color rgb="FFCCCCCC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0" borderId="0" numFmtId="0" xfId="0">
      <protection hidden="0" locked="1"/>
    </xf>
    <xf fontId="0" fillId="0" borderId="0" numFmtId="0" xfId="0"/>
    <xf fontId="0" fillId="0" borderId="0" numFmtId="160" xfId="0" applyNumberFormat="1"/>
    <xf fontId="0" fillId="0" borderId="1" numFmtId="0" xfId="0" applyBorder="1" applyAlignment="1">
      <alignment horizontal="left" wrapText="1"/>
    </xf>
    <xf fontId="1" fillId="2" borderId="2" numFmtId="0" xfId="0" applyFont="1" applyFill="1" applyBorder="1" applyAlignment="1">
      <alignment horizontal="center" wrapText="1"/>
    </xf>
    <xf fontId="1" fillId="2" borderId="3" numFmtId="0" xfId="0" applyFont="1" applyFill="1" applyBorder="1" applyAlignment="1">
      <alignment horizontal="center" wrapText="1"/>
    </xf>
    <xf fontId="1" fillId="2" borderId="4" numFmtId="0" xfId="0" applyFont="1" applyFill="1" applyBorder="1" applyAlignment="1">
      <alignment horizontal="center" wrapText="1"/>
    </xf>
    <xf fontId="1" fillId="0" borderId="1" numFmtId="0" xfId="0" applyFont="1" applyBorder="1" applyAlignment="1">
      <alignment horizontal="left" wrapText="1"/>
    </xf>
    <xf fontId="1" fillId="0" borderId="1" numFmtId="0" xfId="0" applyFont="1" applyBorder="1" applyAlignment="1">
      <alignment horizontal="right" wrapText="1"/>
    </xf>
    <xf fontId="1" fillId="0" borderId="1" numFmtId="2" xfId="0" applyNumberFormat="1" applyFont="1" applyBorder="1" applyAlignment="1">
      <alignment horizontal="right" wrapText="1"/>
    </xf>
    <xf fontId="1" fillId="3" borderId="2" numFmtId="0" xfId="0" applyFont="1" applyFill="1" applyBorder="1" applyAlignment="1">
      <alignment horizontal="center" wrapText="1"/>
    </xf>
    <xf fontId="1" fillId="3" borderId="3" numFmtId="0" xfId="0" applyFont="1" applyFill="1" applyBorder="1" applyAlignment="1">
      <alignment horizontal="center" wrapText="1"/>
    </xf>
    <xf fontId="1" fillId="3" borderId="4" numFmt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2.xml"/><Relationship  Id="rId2" Type="http://schemas.openxmlformats.org/officeDocument/2006/relationships/worksheet" Target="worksheets/sheet1.xml"/><Relationship  Id="rId1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homas Picouet" id="{ECBECB65-1343-B773-CE9A-ACCE5EFD897A}" userId="ocshf4yqqwbi_thomas" providerId="Teamlab"/>
  <person displayName="Thomas Picouet" id="{175DB5B4-C6C6-1787-D738-01CFCDA85CE3}" userId="ocmmctm281ss_idp-tpicouet" providerId="Teamlab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au1" ref="$A$1:$I$15">
  <autoFilter ref="$A$1:$I$15"/>
  <sortState ref="D1:D15">
    <sortCondition descending="0" ref="D1:D14"/>
  </sortState>
  <tableColumns count="9">
    <tableColumn id="1" name="fournisseur de complément"/>
    <tableColumn id="2" name="point de connexion"/>
    <tableColumn id="3" name="utilisation"/>
    <tableColumn id="4" name="plages temporelles"/>
    <tableColumn id="5" name="prix abonnement (an)"/>
    <tableColumn id="6" name="HPH"/>
    <tableColumn id="7" name="HCH"/>
    <tableColumn id="8" name="HPB"/>
    <tableColumn id="9" name="HCB"/>
  </tableColumns>
  <tableStyleInfo name="TableStyleMedium13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13" dT="2025-08-18T12:34:24.63Z" personId="{ECBECB65-1343-B773-CE9A-ACCE5EFD897A}" id="{58AC7E85-010E-7ACC-26B2-85994D056B4C}" done="0">
    <text xml:space="preserve">tarif unique non nommé
</text>
  </threadedComment>
  <threadedComment ref="F10" dT="2025-10-29T09:38:28.88Z" personId="{175DB5B4-C6C6-1787-D738-01CFCDA85CE3}" id="{D4AF7429-BD7F-0BCF-CB6D-AEECE931F1A4}" done="0">
    <text xml:space="preserve">2 tarifs possibles en 2026 : BAT et EP
</text>
  </threadedComment>
</ThreadedComments>
</file>

<file path=xl/worksheets/_rels/sheet1.xml.rels><?xml version="1.0" encoding="UTF-8" standalone="yes"?><Relationships xmlns="http://schemas.openxmlformats.org/package/2006/relationships"><Relationship  Id="rId4" Type="http://schemas.openxmlformats.org/officeDocument/2006/relationships/table" Target="../tables/table1.xml"/><Relationship  Id="rId3" Type="http://schemas.openxmlformats.org/officeDocument/2006/relationships/vmlDrawing" Target="../drawings/vmlDrawing1.vml"/><Relationship  Id="rId2" Type="http://schemas.openxmlformats.org/officeDocument/2006/relationships/comments" Target="../comments1.xml"/><Relationship  Id="rId1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27.140625"/>
    <col bestFit="1" min="2" max="2" width="20.00390625"/>
    <col bestFit="1" min="3" max="3" width="19.57421875"/>
    <col bestFit="1" min="4" max="4" width="22.140625"/>
    <col bestFit="1" min="5" max="8" width="7.28125"/>
  </cols>
  <sheetData>
    <row r="1" ht="14.25">
      <c r="A1" t="s">
        <v>0</v>
      </c>
      <c r="B1" s="1" t="s">
        <v>1</v>
      </c>
      <c r="C1" s="2" t="s">
        <v>2</v>
      </c>
      <c r="D1" s="2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18.75">
      <c r="A2" t="s">
        <v>9</v>
      </c>
      <c r="B2" s="1" t="s">
        <v>10</v>
      </c>
      <c r="C2" s="1" t="s">
        <v>11</v>
      </c>
      <c r="D2" s="1">
        <v>1</v>
      </c>
      <c r="E2" s="1">
        <v>25</v>
      </c>
      <c r="F2" s="3">
        <v>0.067589999999999997</v>
      </c>
      <c r="G2" s="3">
        <v>0.067589999999999997</v>
      </c>
      <c r="H2" s="3">
        <v>0.067589999999999997</v>
      </c>
      <c r="I2" s="3">
        <v>0.067589999999999997</v>
      </c>
    </row>
    <row r="3" ht="14.25">
      <c r="A3" t="s">
        <v>9</v>
      </c>
      <c r="B3" s="1" t="s">
        <v>10</v>
      </c>
      <c r="C3" s="1" t="s">
        <v>12</v>
      </c>
      <c r="D3" s="1">
        <v>1</v>
      </c>
      <c r="E3" s="1">
        <v>25</v>
      </c>
      <c r="F3" s="3">
        <v>0.069209999999999994</v>
      </c>
      <c r="G3" s="3">
        <v>0.069209999999999994</v>
      </c>
      <c r="H3" s="3">
        <v>0.069209999999999994</v>
      </c>
      <c r="I3" s="3">
        <v>0.069209999999999994</v>
      </c>
    </row>
    <row r="4" ht="14.25">
      <c r="A4" s="2" t="s">
        <v>9</v>
      </c>
      <c r="B4" s="1" t="s">
        <v>10</v>
      </c>
      <c r="C4" s="1" t="s">
        <v>13</v>
      </c>
      <c r="D4" s="1">
        <v>2</v>
      </c>
      <c r="E4" s="1">
        <v>25</v>
      </c>
      <c r="F4" s="3">
        <v>0.073940000000000006</v>
      </c>
      <c r="G4" s="3">
        <v>0.050049999999999997</v>
      </c>
      <c r="H4" s="3">
        <v>0.073940000000000006</v>
      </c>
      <c r="I4" s="3">
        <v>0.050049999999999997</v>
      </c>
    </row>
    <row r="5" ht="14.25">
      <c r="A5" t="s">
        <v>9</v>
      </c>
      <c r="B5" s="1" t="s">
        <v>10</v>
      </c>
      <c r="C5" t="s">
        <v>11</v>
      </c>
      <c r="D5" s="1">
        <v>4</v>
      </c>
      <c r="E5">
        <v>25</v>
      </c>
      <c r="F5" s="3">
        <v>0.092109999999999997</v>
      </c>
      <c r="G5" s="3">
        <v>0.057509999999999999</v>
      </c>
      <c r="H5" s="3">
        <v>0.060310000000000002</v>
      </c>
      <c r="I5" s="3">
        <v>0.045760000000000002</v>
      </c>
    </row>
    <row r="6" ht="14.25">
      <c r="A6" t="s">
        <v>9</v>
      </c>
      <c r="B6" s="1" t="s">
        <v>10</v>
      </c>
      <c r="C6" s="1" t="s">
        <v>13</v>
      </c>
      <c r="D6" s="1">
        <v>4</v>
      </c>
      <c r="E6" s="1">
        <v>25</v>
      </c>
      <c r="F6" s="3">
        <f>F5</f>
        <v>0.092109999999999997</v>
      </c>
      <c r="G6" s="3">
        <f>G5</f>
        <v>0.057509999999999999</v>
      </c>
      <c r="H6" s="3">
        <f>H5</f>
        <v>0.060310000000000002</v>
      </c>
      <c r="I6" s="3">
        <f>I5</f>
        <v>0.045760000000000002</v>
      </c>
    </row>
    <row r="7" ht="14.25">
      <c r="A7" t="s">
        <v>9</v>
      </c>
      <c r="B7" s="1" t="s">
        <v>14</v>
      </c>
      <c r="C7" s="1" t="s">
        <v>11</v>
      </c>
      <c r="D7" s="1">
        <v>4</v>
      </c>
      <c r="E7" s="1">
        <v>0</v>
      </c>
      <c r="F7" s="3">
        <v>0.096680000000000002</v>
      </c>
      <c r="G7" s="3">
        <v>0.064439999999999997</v>
      </c>
      <c r="H7" s="3">
        <v>0.056099999999999997</v>
      </c>
      <c r="I7" s="3">
        <v>0.041840000000000002</v>
      </c>
    </row>
    <row r="8" ht="14.25">
      <c r="A8" t="s">
        <v>15</v>
      </c>
      <c r="B8" s="1" t="s">
        <v>10</v>
      </c>
      <c r="C8" t="s">
        <v>13</v>
      </c>
      <c r="D8">
        <v>2</v>
      </c>
      <c r="E8">
        <v>25</v>
      </c>
      <c r="F8" s="3">
        <v>0.086620000000000003</v>
      </c>
      <c r="G8" s="3">
        <v>0.082860000000000003</v>
      </c>
      <c r="H8" s="3">
        <f>F8</f>
        <v>0.086620000000000003</v>
      </c>
      <c r="I8" s="3">
        <f>G8</f>
        <v>0.082860000000000003</v>
      </c>
    </row>
    <row r="9" ht="14.25">
      <c r="A9" t="s">
        <v>15</v>
      </c>
      <c r="B9" s="1" t="s">
        <v>10</v>
      </c>
      <c r="C9" t="s">
        <v>11</v>
      </c>
      <c r="D9">
        <v>1</v>
      </c>
      <c r="E9">
        <v>25</v>
      </c>
      <c r="F9" s="3">
        <v>0.08097</v>
      </c>
      <c r="G9" s="3">
        <f>F9</f>
        <v>0.08097</v>
      </c>
      <c r="H9" s="3">
        <f>G9</f>
        <v>0.08097</v>
      </c>
      <c r="I9" s="3">
        <f>H9</f>
        <v>0.08097</v>
      </c>
    </row>
    <row r="10" ht="14.25">
      <c r="A10" t="s">
        <v>15</v>
      </c>
      <c r="B10" s="1" t="s">
        <v>10</v>
      </c>
      <c r="C10" t="s">
        <v>12</v>
      </c>
      <c r="D10">
        <v>1</v>
      </c>
      <c r="E10">
        <v>25</v>
      </c>
      <c r="F10" s="3">
        <v>0.08097</v>
      </c>
      <c r="G10" s="3">
        <f>F10</f>
        <v>0.08097</v>
      </c>
      <c r="H10" s="3">
        <f>G10</f>
        <v>0.08097</v>
      </c>
      <c r="I10" s="3">
        <f>H10</f>
        <v>0.08097</v>
      </c>
    </row>
    <row r="11" ht="14.25">
      <c r="A11" t="s">
        <v>15</v>
      </c>
      <c r="B11" s="1" t="s">
        <v>10</v>
      </c>
      <c r="C11" t="s">
        <v>11</v>
      </c>
      <c r="D11">
        <v>4</v>
      </c>
      <c r="E11">
        <v>25</v>
      </c>
      <c r="F11" s="3">
        <v>0.10289</v>
      </c>
      <c r="G11" s="3">
        <v>0.072910000000000003</v>
      </c>
      <c r="H11" s="3">
        <v>0.075190000000000007</v>
      </c>
      <c r="I11" s="3">
        <v>0.061469999999999997</v>
      </c>
    </row>
    <row r="12" ht="14.25">
      <c r="A12" t="s">
        <v>15</v>
      </c>
      <c r="B12" s="1" t="s">
        <v>10</v>
      </c>
      <c r="C12" t="s">
        <v>13</v>
      </c>
      <c r="D12">
        <v>4</v>
      </c>
      <c r="E12">
        <v>25</v>
      </c>
      <c r="F12" s="3">
        <f>F11</f>
        <v>0.10289</v>
      </c>
      <c r="G12" s="3">
        <f>G11</f>
        <v>0.072910000000000003</v>
      </c>
      <c r="H12" s="3">
        <f>H11</f>
        <v>0.075190000000000007</v>
      </c>
      <c r="I12" s="3">
        <f>I11</f>
        <v>0.061469999999999997</v>
      </c>
    </row>
    <row r="13" ht="14.25">
      <c r="A13" t="s">
        <v>15</v>
      </c>
      <c r="B13" s="1" t="s">
        <v>14</v>
      </c>
      <c r="C13" t="s">
        <v>11</v>
      </c>
      <c r="D13">
        <v>4</v>
      </c>
      <c r="E13">
        <v>0</v>
      </c>
      <c r="F13" s="3">
        <v>0.10784000000000001</v>
      </c>
      <c r="G13" s="3">
        <v>0.082140000000000005</v>
      </c>
      <c r="H13" s="3">
        <v>0.07077</v>
      </c>
      <c r="I13" s="3">
        <v>0.05935</v>
      </c>
    </row>
    <row r="14" ht="14.25">
      <c r="A14" s="2" t="s">
        <v>16</v>
      </c>
      <c r="B14" s="1" t="s">
        <v>14</v>
      </c>
      <c r="C14" s="2" t="s">
        <v>11</v>
      </c>
      <c r="D14" s="2">
        <v>4</v>
      </c>
      <c r="E14" s="2">
        <v>300</v>
      </c>
      <c r="F14" s="3">
        <f>0.00882+0.10703</f>
        <v>0.11584999999999999</v>
      </c>
      <c r="G14" s="3">
        <f>0.00882+0.08035</f>
        <v>0.089169999999999999</v>
      </c>
      <c r="H14" s="3">
        <f>0.00882+0.05041</f>
        <v>0.059230000000000005</v>
      </c>
      <c r="I14" s="3">
        <f>0.00882+0.05305</f>
        <v>0.061870000000000001</v>
      </c>
    </row>
    <row r="15" ht="14.25">
      <c r="A15" t="s">
        <v>17</v>
      </c>
      <c r="B15" s="1" t="s">
        <v>14</v>
      </c>
      <c r="C15" t="s">
        <v>11</v>
      </c>
      <c r="D15">
        <v>4</v>
      </c>
      <c r="E15">
        <v>32.5</v>
      </c>
      <c r="F15" s="3">
        <v>0.12798000000000001</v>
      </c>
      <c r="G15" s="3">
        <v>0.094600000000000004</v>
      </c>
      <c r="H15" s="3">
        <v>0.059299999999999999</v>
      </c>
      <c r="I15" s="3">
        <v>0.040559999999999999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2" max="2" width="9.8515625"/>
  </cols>
  <sheetData>
    <row r="1" ht="14.25">
      <c r="A1" s="4"/>
      <c r="B1" s="5" t="s">
        <v>14</v>
      </c>
      <c r="C1" s="6"/>
      <c r="D1" s="6"/>
      <c r="E1" s="6"/>
      <c r="F1" s="7"/>
      <c r="G1" s="4"/>
    </row>
    <row r="2" ht="14.25">
      <c r="A2" s="4"/>
      <c r="B2" s="8" t="s">
        <v>18</v>
      </c>
      <c r="C2" s="9">
        <v>2022</v>
      </c>
      <c r="D2" s="9">
        <v>2023</v>
      </c>
      <c r="E2" s="9">
        <v>2024</v>
      </c>
      <c r="F2" s="9">
        <v>2025</v>
      </c>
      <c r="G2" s="8" t="s">
        <v>19</v>
      </c>
    </row>
    <row r="3" ht="14.25">
      <c r="A3" s="8" t="s">
        <v>5</v>
      </c>
      <c r="B3" s="10">
        <f t="shared" ref="B3:B6" si="0">AVERAGE(C3:F3)</f>
        <v>0.30318250000000002</v>
      </c>
      <c r="C3" s="9">
        <v>0.20579</v>
      </c>
      <c r="D3" s="9">
        <v>0.66386000000000001</v>
      </c>
      <c r="E3" s="9">
        <v>0.23380999999999999</v>
      </c>
      <c r="F3" s="9">
        <v>0.10927000000000001</v>
      </c>
      <c r="G3" s="9">
        <v>12.798</v>
      </c>
    </row>
    <row r="4" ht="14.25">
      <c r="A4" s="8" t="s">
        <v>6</v>
      </c>
      <c r="B4" s="10">
        <f t="shared" si="0"/>
        <v>0.25519249999999999</v>
      </c>
      <c r="C4" s="9">
        <v>0.1527</v>
      </c>
      <c r="D4" s="9">
        <v>0.60780999999999996</v>
      </c>
      <c r="E4" s="9">
        <v>0.18668999999999999</v>
      </c>
      <c r="F4" s="9">
        <v>0.073569999999999997</v>
      </c>
      <c r="G4" s="9">
        <v>9.4600000000000009</v>
      </c>
    </row>
    <row r="5" ht="14.25">
      <c r="A5" s="8" t="s">
        <v>20</v>
      </c>
      <c r="B5" s="10">
        <f t="shared" si="0"/>
        <v>0.064967500000000011</v>
      </c>
      <c r="C5" s="9">
        <v>0.016310000000000002</v>
      </c>
      <c r="D5" s="9">
        <v>0.1208</v>
      </c>
      <c r="E5" s="9">
        <v>0.057540000000000001</v>
      </c>
      <c r="F5" s="9">
        <v>0.06522</v>
      </c>
      <c r="G5" s="9">
        <v>5.9299999999999997</v>
      </c>
    </row>
    <row r="6" ht="14.25">
      <c r="A6" s="8" t="s">
        <v>21</v>
      </c>
      <c r="B6" s="10">
        <f t="shared" si="0"/>
        <v>-0.075159999999999991</v>
      </c>
      <c r="C6" s="9">
        <v>-0.071489999999999998</v>
      </c>
      <c r="D6" s="9">
        <v>-0.22867999999999999</v>
      </c>
      <c r="E6" s="9">
        <v>-0.051429999999999997</v>
      </c>
      <c r="F6" s="9">
        <v>0.050959999999999998</v>
      </c>
      <c r="G6" s="9">
        <v>4.056</v>
      </c>
    </row>
    <row r="7" ht="14.25">
      <c r="A7" s="4"/>
      <c r="B7" s="4"/>
      <c r="C7" s="4"/>
      <c r="D7" s="4"/>
      <c r="E7" s="4"/>
      <c r="F7" s="4"/>
      <c r="G7" s="4"/>
    </row>
    <row r="8" ht="14.25">
      <c r="A8" s="4"/>
      <c r="B8" s="4"/>
      <c r="C8" s="4"/>
      <c r="D8" s="4"/>
      <c r="E8" s="4"/>
      <c r="F8" s="4"/>
      <c r="G8" s="4"/>
    </row>
    <row r="9" ht="14.25">
      <c r="A9" s="4"/>
      <c r="B9" s="11" t="s">
        <v>10</v>
      </c>
      <c r="C9" s="12"/>
      <c r="D9" s="12"/>
      <c r="E9" s="12"/>
      <c r="F9" s="13"/>
      <c r="G9" s="4"/>
    </row>
    <row r="10" ht="14.25">
      <c r="A10" s="4"/>
      <c r="B10" s="8" t="s">
        <v>18</v>
      </c>
      <c r="C10" s="9">
        <v>2022</v>
      </c>
      <c r="D10" s="9">
        <v>2023</v>
      </c>
      <c r="E10" s="9">
        <v>2024</v>
      </c>
      <c r="F10" s="9">
        <v>2025</v>
      </c>
      <c r="G10" s="4"/>
    </row>
    <row r="11" ht="14.25">
      <c r="A11" s="8" t="s">
        <v>22</v>
      </c>
      <c r="B11" s="10">
        <f t="shared" ref="B11:B13" si="1">AVERAGE(C11:F11)</f>
        <v>0.18360500000000002</v>
      </c>
      <c r="C11" s="9">
        <v>0.11387</v>
      </c>
      <c r="D11" s="9">
        <v>0.38785999999999998</v>
      </c>
      <c r="E11" s="9">
        <v>0.14792</v>
      </c>
      <c r="F11" s="9">
        <v>0.084769999999999998</v>
      </c>
      <c r="G11" s="4"/>
    </row>
    <row r="12" ht="14.25">
      <c r="A12" s="8" t="s">
        <v>23</v>
      </c>
      <c r="B12" s="10">
        <f t="shared" si="1"/>
        <v>0.089146750000000011</v>
      </c>
      <c r="C12" s="9">
        <v>0.041946999999999998</v>
      </c>
      <c r="D12" s="9">
        <v>0.18745000000000001</v>
      </c>
      <c r="E12" s="9">
        <v>0.067629999999999996</v>
      </c>
      <c r="F12" s="9">
        <v>0.059560000000000002</v>
      </c>
      <c r="G12" s="4"/>
    </row>
    <row r="13" ht="14.25">
      <c r="A13" s="8" t="s">
        <v>24</v>
      </c>
      <c r="B13" s="10">
        <f t="shared" si="1"/>
        <v>0.164605</v>
      </c>
      <c r="C13" s="9">
        <v>0.099210000000000007</v>
      </c>
      <c r="D13" s="9">
        <v>0.34921999999999997</v>
      </c>
      <c r="E13" s="9">
        <v>0.13184000000000001</v>
      </c>
      <c r="F13" s="9">
        <v>0.078149999999999997</v>
      </c>
      <c r="G13" s="4"/>
    </row>
  </sheetData>
  <mergeCells count="2">
    <mergeCell ref="B1:F1"/>
    <mergeCell ref="B9:F9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onlyoffice/7.4.1.36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Picouet</cp:lastModifiedBy>
  <cp:revision>14</cp:revision>
  <dcterms:modified xsi:type="dcterms:W3CDTF">2025-10-31T07:47:08Z</dcterms:modified>
</cp:coreProperties>
</file>