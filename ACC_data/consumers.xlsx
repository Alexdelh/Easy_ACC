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persons/person.xml" ContentType="application/vnd.ms-excel.person+xml"/>
  <Override PartName="/xl/worksheets/sheet2.xml" ContentType="application/vnd.openxmlformats-officedocument.spreadsheetml.worksheet+xml"/>
  <Override PartName="/xl/threadedComments/threadedComment3.xml" ContentType="application/vnd.ms-excel.threadedcomments+xml"/>
  <Override PartName="/xl/comments3.xml" ContentType="application/vnd.openxmlformats-officedocument.spreadsheetml.comments+xml"/>
  <Override PartName="/xl/tables/table3.xml" ContentType="application/vnd.openxmlformats-officedocument.spreadsheetml.table+xml"/>
  <Override PartName="/xl/threadedComments/threadedComment1.xml" ContentType="application/vnd.ms-excel.threadedcomments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threadedComments/threadedComment2.xml" ContentType="application/vnd.ms-excel.threadedcomment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1"/>
  </bookViews>
  <sheets>
    <sheet name="Unique" sheetId="1" state="visible" r:id="rId2"/>
    <sheet name="EST-OUEST" sheetId="2" state="visible" r:id="rId3"/>
    <sheet name="v1 (avec incohérences)" sheetId="3" state="visible" r:id="rId4"/>
  </sheets>
  <calcPr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tc={01E87256-4098-FE3E-B9CE-832D43E2FD42}</author>
    <author>tc={9E6A9D29-2CA1-1B04-F6D3-209944FFEB86}</author>
    <author>tc={643E364C-1A2E-140C-0F00-90F31CCC6900}</author>
    <author>tc={617A0278-C3F2-5CB2-0C72-8CA28FD53F66}</author>
    <author>tc={D7D547FA-D1BC-E1C7-B7DC-ECB2B84ACD15}</author>
    <author>tc={BDF119B4-D19B-05C6-76CE-BAD6ED6CEC73}</author>
    <author>tc={43551E34-C888-8169-D8DF-3470E30AB7C9}</author>
    <author>tc={C30CF958-DA8D-E311-B9DC-49411F547357}</author>
    <author>tc={2AEBA47F-7997-EC02-7507-3B1818019B40}</author>
    <author>tc={C50B59E9-70C5-993A-1ED0-E2CCF777E9A2}</author>
  </authors>
  <commentList>
    <comment ref="L12" authorId="0" xr:uid="{01E87256-4098-FE3E-B9CE-832D43E2FD42}">
      <text>
        <r>
          <rPr>
            <b/>
            <sz val="9"/>
            <rFont val="Tahoma"/>
          </rPr>
          <t xml:space="preserve">Thomas Picouet:</t>
        </r>
        <r>
          <rPr>
            <sz val="9"/>
            <rFont val="Tahoma"/>
          </rPr>
          <t xml:space="preserve">
a priori impossible vàv du TURPE
</t>
        </r>
      </text>
    </comment>
    <comment ref="G16" authorId="1" xr:uid="{9E6A9D29-2CA1-1B04-F6D3-209944FFEB86}">
      <text>
        <r>
          <rPr>
            <b/>
            <sz val="9"/>
            <rFont val="Tahoma"/>
          </rPr>
          <t xml:space="preserve">Thomas Picouet:</t>
        </r>
        <r>
          <rPr>
            <sz val="9"/>
            <rFont val="Tahoma"/>
          </rPr>
          <t xml:space="preserve">
À vérifier
</t>
        </r>
      </text>
    </comment>
    <comment ref="L17" authorId="2" xr:uid="{643E364C-1A2E-140C-0F00-90F31CCC6900}">
      <text>
        <r>
          <rPr>
            <b/>
            <sz val="9"/>
            <rFont val="Tahoma"/>
          </rPr>
          <t xml:space="preserve">Thomas Picouet:</t>
        </r>
        <r>
          <rPr>
            <sz val="9"/>
            <rFont val="Tahoma"/>
          </rPr>
          <t xml:space="preserve">
a priori impossible vàv du TURPE
</t>
        </r>
      </text>
    </comment>
    <comment ref="G17" authorId="3" xr:uid="{617A0278-C3F2-5CB2-0C72-8CA28FD53F66}">
      <text>
        <r>
          <rPr>
            <b/>
            <sz val="9"/>
            <rFont val="Tahoma"/>
          </rPr>
          <t xml:space="preserve">Thomas Picouet:</t>
        </r>
        <r>
          <rPr>
            <sz val="9"/>
            <rFont val="Tahoma"/>
          </rPr>
          <t xml:space="preserve">
À vérifier
</t>
        </r>
      </text>
    </comment>
    <comment ref="L18" authorId="4" xr:uid="{D7D547FA-D1BC-E1C7-B7DC-ECB2B84ACD15}">
      <text>
        <r>
          <rPr>
            <b/>
            <sz val="9"/>
            <rFont val="Tahoma"/>
          </rPr>
          <t xml:space="preserve">Thomas Picouet:</t>
        </r>
        <r>
          <rPr>
            <sz val="9"/>
            <rFont val="Tahoma"/>
          </rPr>
          <t xml:space="preserve">
inventé
</t>
        </r>
      </text>
    </comment>
    <comment ref="N18" authorId="5" xr:uid="{BDF119B4-D19B-05C6-76CE-BAD6ED6CEC73}">
      <text>
        <r>
          <rPr>
            <b/>
            <sz val="9"/>
            <rFont val="Tahoma"/>
          </rPr>
          <t xml:space="preserve">Thomas Picouet:</t>
        </r>
        <r>
          <rPr>
            <sz val="9"/>
            <rFont val="Tahoma"/>
          </rPr>
          <t xml:space="preserve">
inventé
</t>
        </r>
      </text>
    </comment>
    <comment ref="N4" authorId="6" xr:uid="{43551E34-C888-8169-D8DF-3470E30AB7C9}">
      <text>
        <r>
          <rPr>
            <b/>
            <sz val="9"/>
            <rFont val="Tahoma"/>
          </rPr>
          <t xml:space="preserve">Thomas Picouet:</t>
        </r>
        <r>
          <rPr>
            <sz val="9"/>
            <rFont val="Tahoma"/>
          </rPr>
          <t xml:space="preserve">
inventé
</t>
        </r>
      </text>
    </comment>
    <comment ref="G7" authorId="7" xr:uid="{C30CF958-DA8D-E311-B9DC-49411F547357}">
      <text>
        <r>
          <rPr>
            <b/>
            <sz val="9"/>
            <rFont val="Tahoma"/>
          </rPr>
          <t xml:space="preserve">Thomas Picouet:</t>
        </r>
        <r>
          <rPr>
            <sz val="9"/>
            <rFont val="Tahoma"/>
          </rPr>
          <t xml:space="preserve">
À préciser
</t>
        </r>
      </text>
    </comment>
    <comment ref="L9" authorId="8" xr:uid="{2AEBA47F-7997-EC02-7507-3B1818019B40}">
      <text>
        <r>
          <rPr>
            <b/>
            <sz val="9"/>
            <rFont val="Tahoma"/>
          </rPr>
          <t xml:space="preserve">Thomas Picouet:</t>
        </r>
        <r>
          <rPr>
            <sz val="9"/>
            <rFont val="Tahoma"/>
          </rPr>
          <t xml:space="preserve">
a priori impossible vàv du TURPE
</t>
        </r>
      </text>
    </comment>
    <comment ref="G9" authorId="9" xr:uid="{C50B59E9-70C5-993A-1ED0-E2CCF777E9A2}">
      <text>
        <r>
          <rPr>
            <b/>
            <sz val="9"/>
            <rFont val="Tahoma"/>
          </rPr>
          <t xml:space="preserve">Thomas Picouet:</t>
        </r>
        <r>
          <rPr>
            <sz val="9"/>
            <rFont val="Tahoma"/>
          </rPr>
          <t xml:space="preserve">
À vérifier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tc={3E092C52-4B4F-C3E9-230A-934F6AAE2FAA}</author>
    <author>tc={2E5767FF-28AF-77B6-9A20-C53A7CDB1DEA}</author>
    <author>tc={74CA0DC4-ECBA-64AF-74B2-C375B9974BA3}</author>
    <author>tc={3DF0023E-4747-288D-321B-F5001A93ADCA}</author>
    <author>tc={000FF276-5DE5-AD24-1EE3-CB6A90A08342}</author>
    <author>tc={47356154-EC92-F54B-1FDB-4380FAC7B51E}</author>
    <author>tc={AB11517D-021E-39C8-66E0-CFE384DECFAB}</author>
    <author>tc={3B2647C4-D9FF-F53E-4823-511391E8B1A3}</author>
    <author>tc={DC960EC5-86C5-AEB6-ECE5-B6FD99A9B7DA}</author>
    <author>tc={AE3A07DD-A4BC-B29C-21E6-F4E02FE7E8C9}</author>
  </authors>
  <commentList>
    <comment ref="L12" authorId="0" xr:uid="{3E092C52-4B4F-C3E9-230A-934F6AAE2FAA}">
      <text>
        <r>
          <rPr>
            <b/>
            <sz val="9"/>
            <rFont val="Tahoma"/>
          </rPr>
          <t xml:space="preserve">Thomas Picouet:</t>
        </r>
        <r>
          <rPr>
            <sz val="9"/>
            <rFont val="Tahoma"/>
          </rPr>
          <t xml:space="preserve">
a priori impossible vàv du TURPE
</t>
        </r>
      </text>
    </comment>
    <comment ref="G16" authorId="1" xr:uid="{2E5767FF-28AF-77B6-9A20-C53A7CDB1DEA}">
      <text>
        <r>
          <rPr>
            <b/>
            <sz val="9"/>
            <rFont val="Tahoma"/>
          </rPr>
          <t xml:space="preserve">Thomas Picouet:</t>
        </r>
        <r>
          <rPr>
            <sz val="9"/>
            <rFont val="Tahoma"/>
          </rPr>
          <t xml:space="preserve">
À vérifier
</t>
        </r>
      </text>
    </comment>
    <comment ref="L17" authorId="2" xr:uid="{74CA0DC4-ECBA-64AF-74B2-C375B9974BA3}">
      <text>
        <r>
          <rPr>
            <b/>
            <sz val="9"/>
            <rFont val="Tahoma"/>
          </rPr>
          <t xml:space="preserve">Thomas Picouet:</t>
        </r>
        <r>
          <rPr>
            <sz val="9"/>
            <rFont val="Tahoma"/>
          </rPr>
          <t xml:space="preserve">
a priori impossible vàv du TURPE
</t>
        </r>
      </text>
    </comment>
    <comment ref="G17" authorId="3" xr:uid="{3DF0023E-4747-288D-321B-F5001A93ADCA}">
      <text>
        <r>
          <rPr>
            <b/>
            <sz val="9"/>
            <rFont val="Tahoma"/>
          </rPr>
          <t xml:space="preserve">Thomas Picouet:</t>
        </r>
        <r>
          <rPr>
            <sz val="9"/>
            <rFont val="Tahoma"/>
          </rPr>
          <t xml:space="preserve">
À vérifier
</t>
        </r>
      </text>
    </comment>
    <comment ref="L18" authorId="4" xr:uid="{000FF276-5DE5-AD24-1EE3-CB6A90A08342}">
      <text>
        <r>
          <rPr>
            <b/>
            <sz val="9"/>
            <rFont val="Tahoma"/>
          </rPr>
          <t xml:space="preserve">Thomas Picouet:</t>
        </r>
        <r>
          <rPr>
            <sz val="9"/>
            <rFont val="Tahoma"/>
          </rPr>
          <t xml:space="preserve">
inventé
</t>
        </r>
      </text>
    </comment>
    <comment ref="N18" authorId="5" xr:uid="{47356154-EC92-F54B-1FDB-4380FAC7B51E}">
      <text>
        <r>
          <rPr>
            <b/>
            <sz val="9"/>
            <rFont val="Tahoma"/>
          </rPr>
          <t xml:space="preserve">Thomas Picouet:</t>
        </r>
        <r>
          <rPr>
            <sz val="9"/>
            <rFont val="Tahoma"/>
          </rPr>
          <t xml:space="preserve">
inventé
</t>
        </r>
      </text>
    </comment>
    <comment ref="N4" authorId="6" xr:uid="{AB11517D-021E-39C8-66E0-CFE384DECFAB}">
      <text>
        <r>
          <rPr>
            <b/>
            <sz val="9"/>
            <rFont val="Tahoma"/>
          </rPr>
          <t xml:space="preserve">Thomas Picouet:</t>
        </r>
        <r>
          <rPr>
            <sz val="9"/>
            <rFont val="Tahoma"/>
          </rPr>
          <t xml:space="preserve">
inventé
</t>
        </r>
      </text>
    </comment>
    <comment ref="G7" authorId="7" xr:uid="{3B2647C4-D9FF-F53E-4823-511391E8B1A3}">
      <text>
        <r>
          <rPr>
            <b/>
            <sz val="9"/>
            <rFont val="Tahoma"/>
          </rPr>
          <t xml:space="preserve">Thomas Picouet:</t>
        </r>
        <r>
          <rPr>
            <sz val="9"/>
            <rFont val="Tahoma"/>
          </rPr>
          <t xml:space="preserve">
À préciser
</t>
        </r>
      </text>
    </comment>
    <comment ref="L9" authorId="8" xr:uid="{DC960EC5-86C5-AEB6-ECE5-B6FD99A9B7DA}">
      <text>
        <r>
          <rPr>
            <b/>
            <sz val="9"/>
            <rFont val="Tahoma"/>
          </rPr>
          <t xml:space="preserve">Thomas Picouet:</t>
        </r>
        <r>
          <rPr>
            <sz val="9"/>
            <rFont val="Tahoma"/>
          </rPr>
          <t xml:space="preserve">
a priori impossible vàv du TURPE
</t>
        </r>
      </text>
    </comment>
    <comment ref="G9" authorId="9" xr:uid="{AE3A07DD-A4BC-B29C-21E6-F4E02FE7E8C9}">
      <text>
        <r>
          <rPr>
            <b/>
            <sz val="9"/>
            <rFont val="Tahoma"/>
          </rPr>
          <t xml:space="preserve">Thomas Picouet:</t>
        </r>
        <r>
          <rPr>
            <sz val="9"/>
            <rFont val="Tahoma"/>
          </rPr>
          <t xml:space="preserve">
À vérifier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tc={56A8B514-20C7-A93F-D7F8-6097518D5BB9}</author>
    <author>tc={6F09A93D-7604-E424-199C-84AF8C4B32C1}</author>
    <author>tc={C2DF9C42-0D26-9147-3213-D3D2F8B2092B}</author>
    <author>tc={31DBE0EA-1B50-7C06-0418-E94EAFA5FAAC}</author>
    <author>tc={7E483BF7-01A2-48FD-FAED-E97E1C8DEB85}</author>
    <author>tc={7400C717-38D9-3D3A-DF97-45B80DFD1A5E}</author>
    <author>tc={540AA6FF-57EC-9E74-3208-86CEFED51482}</author>
    <author>tc={89EBE706-6A2C-C4AB-34CE-53BB7F3750F8}</author>
  </authors>
  <commentList>
    <comment ref="J12" authorId="0" xr:uid="{56A8B514-20C7-A93F-D7F8-6097518D5BB9}">
      <text>
        <r>
          <rPr>
            <b/>
            <sz val="9"/>
            <rFont val="Tahoma"/>
          </rPr>
          <t xml:space="preserve">Thomas Picouet:</t>
        </r>
        <r>
          <rPr>
            <sz val="9"/>
            <rFont val="Tahoma"/>
          </rPr>
          <t xml:space="preserve">
a priori impossible vàv du TURPE
</t>
        </r>
      </text>
    </comment>
    <comment ref="J14" authorId="1" xr:uid="{6F09A93D-7604-E424-199C-84AF8C4B32C1}">
      <text>
        <r>
          <rPr>
            <b/>
            <sz val="9"/>
            <rFont val="Tahoma"/>
          </rPr>
          <t xml:space="preserve">Thomas Picouet:</t>
        </r>
        <r>
          <rPr>
            <sz val="9"/>
            <rFont val="Tahoma"/>
          </rPr>
          <t xml:space="preserve">
a priori impossible vàv du TURPE
</t>
        </r>
      </text>
    </comment>
    <comment ref="J17" authorId="2" xr:uid="{C2DF9C42-0D26-9147-3213-D3D2F8B2092B}">
      <text>
        <r>
          <rPr>
            <b/>
            <sz val="9"/>
            <rFont val="Tahoma"/>
          </rPr>
          <t xml:space="preserve">Thomas Picouet:</t>
        </r>
        <r>
          <rPr>
            <sz val="9"/>
            <rFont val="Tahoma"/>
          </rPr>
          <t xml:space="preserve">
a priori impossible vàv du TURPE
</t>
        </r>
      </text>
    </comment>
    <comment ref="L18" authorId="3" xr:uid="{31DBE0EA-1B50-7C06-0418-E94EAFA5FAAC}">
      <text>
        <r>
          <rPr>
            <b/>
            <sz val="9"/>
            <rFont val="Tahoma"/>
          </rPr>
          <t xml:space="preserve">Thomas Picouet:</t>
        </r>
        <r>
          <rPr>
            <sz val="9"/>
            <rFont val="Tahoma"/>
          </rPr>
          <t xml:space="preserve">
inventé
</t>
        </r>
      </text>
    </comment>
    <comment ref="J18" authorId="4" xr:uid="{7E483BF7-01A2-48FD-FAED-E97E1C8DEB85}">
      <text>
        <r>
          <rPr>
            <b/>
            <sz val="9"/>
            <rFont val="Tahoma"/>
          </rPr>
          <t xml:space="preserve">Thomas Picouet:</t>
        </r>
        <r>
          <rPr>
            <sz val="9"/>
            <rFont val="Tahoma"/>
          </rPr>
          <t xml:space="preserve">
inventé
</t>
        </r>
      </text>
    </comment>
    <comment ref="J19" authorId="5" xr:uid="{7400C717-38D9-3D3A-DF97-45B80DFD1A5E}">
      <text>
        <r>
          <rPr>
            <b/>
            <sz val="9"/>
            <rFont val="Tahoma"/>
          </rPr>
          <t xml:space="preserve">Thomas Picouet:</t>
        </r>
        <r>
          <rPr>
            <sz val="9"/>
            <rFont val="Tahoma"/>
          </rPr>
          <t xml:space="preserve">
a priori impossible vàv du TURPE
</t>
        </r>
      </text>
    </comment>
    <comment ref="L4" authorId="6" xr:uid="{540AA6FF-57EC-9E74-3208-86CEFED51482}">
      <text>
        <r>
          <rPr>
            <b/>
            <sz val="9"/>
            <rFont val="Tahoma"/>
          </rPr>
          <t xml:space="preserve">Thomas Picouet:</t>
        </r>
        <r>
          <rPr>
            <sz val="9"/>
            <rFont val="Tahoma"/>
          </rPr>
          <t xml:space="preserve">
inventé
</t>
        </r>
      </text>
    </comment>
    <comment ref="J9" authorId="7" xr:uid="{89EBE706-6A2C-C4AB-34CE-53BB7F3750F8}">
      <text>
        <r>
          <rPr>
            <b/>
            <sz val="9"/>
            <rFont val="Tahoma"/>
          </rPr>
          <t xml:space="preserve">Thomas Picouet:</t>
        </r>
        <r>
          <rPr>
            <sz val="9"/>
            <rFont val="Tahoma"/>
          </rPr>
          <t xml:space="preserve">
a priori impossible vàv du TURPE
</t>
        </r>
      </text>
    </comment>
  </commentList>
</comments>
</file>

<file path=xl/sharedStrings.xml><?xml version="1.0" encoding="utf-8"?>
<sst xmlns="http://schemas.openxmlformats.org/spreadsheetml/2006/main" count="133" uniqueCount="133">
  <si>
    <t>Bâtiment</t>
  </si>
  <si>
    <t>Activé</t>
  </si>
  <si>
    <t>Boucle</t>
  </si>
  <si>
    <t>Adresse</t>
  </si>
  <si>
    <t xml:space="preserve">Code Postal</t>
  </si>
  <si>
    <t>Commune</t>
  </si>
  <si>
    <t>Lat</t>
  </si>
  <si>
    <t>Long</t>
  </si>
  <si>
    <t>Source</t>
  </si>
  <si>
    <t xml:space="preserve">Point de livraison</t>
  </si>
  <si>
    <t>Priorité</t>
  </si>
  <si>
    <t>Nombre</t>
  </si>
  <si>
    <t xml:space="preserve">Type de compteur</t>
  </si>
  <si>
    <t xml:space="preserve">Fournisseur de complément</t>
  </si>
  <si>
    <t xml:space="preserve">Type de contrat</t>
  </si>
  <si>
    <t xml:space="preserve">Plages temporelles</t>
  </si>
  <si>
    <t>Utilisation</t>
  </si>
  <si>
    <t xml:space="preserve">Puissance souscrite HPH (kVA)</t>
  </si>
  <si>
    <t xml:space="preserve">Puissance souscrite HCH (kVA)</t>
  </si>
  <si>
    <t xml:space="preserve">Puissance souscrite HPB (kVA)</t>
  </si>
  <si>
    <t xml:space="preserve">Puissance souscrite HCB (kVA)</t>
  </si>
  <si>
    <t xml:space="preserve">Puissance de raccordement (kVA)</t>
  </si>
  <si>
    <t xml:space="preserve">Bureaux Services techniques</t>
  </si>
  <si>
    <t>True</t>
  </si>
  <si>
    <t>Unique</t>
  </si>
  <si>
    <t xml:space="preserve">32 Rue Marcel Sanguy</t>
  </si>
  <si>
    <t>Rostrenen</t>
  </si>
  <si>
    <t>48.24315879383945</t>
  </si>
  <si>
    <t>-3.3212330002211194</t>
  </si>
  <si>
    <t>ALEX</t>
  </si>
  <si>
    <t>PMEI</t>
  </si>
  <si>
    <t xml:space="preserve">Total energies 2026</t>
  </si>
  <si>
    <t>C5</t>
  </si>
  <si>
    <t>CU</t>
  </si>
  <si>
    <t xml:space="preserve">Maison de l'enfance</t>
  </si>
  <si>
    <t xml:space="preserve">Rue Chateaubriant</t>
  </si>
  <si>
    <t>48.23700837852519</t>
  </si>
  <si>
    <t>-3.3124631762123724</t>
  </si>
  <si>
    <t xml:space="preserve">Abattoir intercommunal</t>
  </si>
  <si>
    <t xml:space="preserve">Rue Rosa Le Hénaff</t>
  </si>
  <si>
    <t>48.232861031622186</t>
  </si>
  <si>
    <t>-3.321285630754098</t>
  </si>
  <si>
    <t>EDF</t>
  </si>
  <si>
    <t>C4</t>
  </si>
  <si>
    <t>EKOPOL</t>
  </si>
  <si>
    <t xml:space="preserve">ZA La Garenne</t>
  </si>
  <si>
    <t>48.25070162843694</t>
  </si>
  <si>
    <t>-3.305306916250066</t>
  </si>
  <si>
    <t>LNK</t>
  </si>
  <si>
    <t xml:space="preserve">Déchèterie (1)</t>
  </si>
  <si>
    <t xml:space="preserve">Route de Saint-Brieuc</t>
  </si>
  <si>
    <t>48.248550259033706</t>
  </si>
  <si>
    <t>-3.3024593180964854</t>
  </si>
  <si>
    <t xml:space="preserve">Poste de refoulement</t>
  </si>
  <si>
    <t xml:space="preserve">ZA Kerjean</t>
  </si>
  <si>
    <t>48.246267274479656</t>
  </si>
  <si>
    <t>-3.3106216421768284</t>
  </si>
  <si>
    <t>LU</t>
  </si>
  <si>
    <t>SMKB</t>
  </si>
  <si>
    <t xml:space="preserve">2 Rue Gustave Launay</t>
  </si>
  <si>
    <t>Saint-Nicolas-du-Pélem</t>
  </si>
  <si>
    <t>48.312212612556046</t>
  </si>
  <si>
    <t>-3.162738687901709</t>
  </si>
  <si>
    <t>MU</t>
  </si>
  <si>
    <t xml:space="preserve">Déchèterie (2)</t>
  </si>
  <si>
    <t xml:space="preserve">Rue Parc Ronce</t>
  </si>
  <si>
    <t>48.30846374160065</t>
  </si>
  <si>
    <t>-3.155702323453171</t>
  </si>
  <si>
    <t xml:space="preserve">ALSH (St Nicolas du Pélem)</t>
  </si>
  <si>
    <t xml:space="preserve">Rue de Rostrenen</t>
  </si>
  <si>
    <t>48.309723021234014</t>
  </si>
  <si>
    <t>-3.1785793616213827</t>
  </si>
  <si>
    <t xml:space="preserve">ALSH (Glomel)</t>
  </si>
  <si>
    <t xml:space="preserve">Étang du Corong</t>
  </si>
  <si>
    <t>Glomel</t>
  </si>
  <si>
    <t>48.21898236429916</t>
  </si>
  <si>
    <t>-3.392874384950943</t>
  </si>
  <si>
    <t xml:space="preserve">Base acceuil randonneurs</t>
  </si>
  <si>
    <t>Créharer</t>
  </si>
  <si>
    <t>48.23124316965832</t>
  </si>
  <si>
    <t>-3.4087751342801114</t>
  </si>
  <si>
    <t xml:space="preserve">Services généraux</t>
  </si>
  <si>
    <t xml:space="preserve">3 Rue de l'Église</t>
  </si>
  <si>
    <t>Maël-Carhaix</t>
  </si>
  <si>
    <t>48.284316077578175</t>
  </si>
  <si>
    <t>-3.4242855728126584</t>
  </si>
  <si>
    <t xml:space="preserve">Musée Etang Neuf</t>
  </si>
  <si>
    <t xml:space="preserve">l'Étang Neuf</t>
  </si>
  <si>
    <t>Saint-Connan</t>
  </si>
  <si>
    <t>48.418772705299475</t>
  </si>
  <si>
    <t>-3.1088132315834875</t>
  </si>
  <si>
    <t xml:space="preserve">Base nautique</t>
  </si>
  <si>
    <t xml:space="preserve">Lieu-dit Pen Ar Hoat</t>
  </si>
  <si>
    <t>Trémargat</t>
  </si>
  <si>
    <t>48.346283746339964</t>
  </si>
  <si>
    <t>-3.2561531892570073</t>
  </si>
  <si>
    <t>EMS</t>
  </si>
  <si>
    <t xml:space="preserve">Ensemble de bâtiments (1)</t>
  </si>
  <si>
    <t>Saint-Antoine</t>
  </si>
  <si>
    <t>Lanrivain</t>
  </si>
  <si>
    <t>48.34402316040092</t>
  </si>
  <si>
    <t>-3.2407771369978597</t>
  </si>
  <si>
    <t xml:space="preserve">Ensemble de bâtiments (2)</t>
  </si>
  <si>
    <t xml:space="preserve">Centre aquatique du Blavet</t>
  </si>
  <si>
    <t xml:space="preserve">Park Stangarmel</t>
  </si>
  <si>
    <t>Gouarec</t>
  </si>
  <si>
    <t>48.228175620721366</t>
  </si>
  <si>
    <t>-3.1872002739214076</t>
  </si>
  <si>
    <t>50073336860603135</t>
  </si>
  <si>
    <t xml:space="preserve">Engie piscine</t>
  </si>
  <si>
    <t xml:space="preserve">Bâtiments associatifs</t>
  </si>
  <si>
    <t>False</t>
  </si>
  <si>
    <t xml:space="preserve">14 Rue Rosa Le Hénaff</t>
  </si>
  <si>
    <t>48.232709381783096</t>
  </si>
  <si>
    <t>-3.3212260879262407</t>
  </si>
  <si>
    <t>Autre</t>
  </si>
  <si>
    <t xml:space="preserve">Bureaux pôle nord</t>
  </si>
  <si>
    <t xml:space="preserve">rue de Lan Ogé</t>
  </si>
  <si>
    <t>48.24351280374601</t>
  </si>
  <si>
    <t>-3.311548778949898</t>
  </si>
  <si>
    <t>SMKU</t>
  </si>
  <si>
    <t xml:space="preserve">rue de Kerne Uhel</t>
  </si>
  <si>
    <t>48.342230346910924</t>
  </si>
  <si>
    <t>-3.247382451778559</t>
  </si>
  <si>
    <t xml:space="preserve">Saur Rostrenen</t>
  </si>
  <si>
    <t xml:space="preserve">à remplir</t>
  </si>
  <si>
    <t>48.23672007117805</t>
  </si>
  <si>
    <t>-3.321658168723237</t>
  </si>
  <si>
    <t>Ménage</t>
  </si>
  <si>
    <t>OUEST</t>
  </si>
  <si>
    <t>EST</t>
  </si>
  <si>
    <t xml:space="preserve">Ménage (1)</t>
  </si>
  <si>
    <t xml:space="preserve">Ménage (2)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</si>
</sst>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0" numFmtId="0" xfId="0"/>
    <xf fontId="0" fillId="0" borderId="0" numFmtId="0" xfId="0">
      <protection hidden="0" locked="1"/>
    </xf>
    <xf fontId="0" fillId="0" borderId="0" numFmtId="1" xfId="0" applyNumberFormat="1"/>
    <xf fontId="0" fillId="0" borderId="0" numFmtId="2" xfId="0" applyNumberFormat="1" applyAlignment="1">
      <alignment horizontal="right"/>
    </xf>
    <xf fontId="1" fillId="0" borderId="0" numFmt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7" Type="http://schemas.openxmlformats.org/officeDocument/2006/relationships/styles" Target="styles.xml"/><Relationship  Id="rId6" Type="http://schemas.openxmlformats.org/officeDocument/2006/relationships/sharedStrings" Target="sharedStrings.xml"/><Relationship  Id="rId5" Type="http://schemas.openxmlformats.org/officeDocument/2006/relationships/theme" Target="theme/theme1.xml"/><Relationship  Id="rId4" Type="http://schemas.openxmlformats.org/officeDocument/2006/relationships/worksheet" Target="worksheets/sheet3.xml"/><Relationship  Id="rId3" Type="http://schemas.openxmlformats.org/officeDocument/2006/relationships/worksheet" Target="worksheets/sheet2.xml"/><Relationship  Id="rId2" Type="http://schemas.openxmlformats.org/officeDocument/2006/relationships/worksheet" Target="worksheets/sheet1.xml"/><Relationship  Id="rId1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homas Picouet" id="{7137490F-65DB-AE04-ABD7-0C1B2A134D4C}" userId="ocshf4yqqwbi_thomas" providerId="Teamlab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au1" ref="$A$1:$V$24">
  <autoFilter ref="$A$1:$V$24"/>
  <tableColumns count="22">
    <tableColumn id="1" name="Bâtiment"/>
    <tableColumn id="2" name="Activé"/>
    <tableColumn id="3" name="Boucle"/>
    <tableColumn id="4" name="Adresse"/>
    <tableColumn id="5" name="Code Postal"/>
    <tableColumn id="6" name="Commune"/>
    <tableColumn id="7" name="Lat"/>
    <tableColumn id="8" name="Long"/>
    <tableColumn id="9" name="Source"/>
    <tableColumn id="10" name="Point de livraison"/>
    <tableColumn id="11" name="Priorité"/>
    <tableColumn id="12" name="Nombre"/>
    <tableColumn id="13" name="Type de compteur"/>
    <tableColumn id="14" name="Fournisseur de complément"/>
    <tableColumn id="15" name="Type de contrat"/>
    <tableColumn id="16" name="Plages temporelles"/>
    <tableColumn id="17" name="Utilisation"/>
    <tableColumn id="18" name="Puissance souscrite HPH (kVA)"/>
    <tableColumn id="19" name="Puissance souscrite HCH (kVA)"/>
    <tableColumn id="20" name="Puissance souscrite HPB (kVA)"/>
    <tableColumn id="21" name="Puissance souscrite HCB (kVA)"/>
    <tableColumn id="22" name="Puissance de raccordement (kVA)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ableau3" ref="$A$1:$V$24">
  <autoFilter ref="$A$1:$V$24"/>
  <tableColumns count="22">
    <tableColumn id="1" name="Bâtiment"/>
    <tableColumn id="2" name="Activé"/>
    <tableColumn id="3" name="Boucle"/>
    <tableColumn id="4" name="Adresse"/>
    <tableColumn id="5" name="Code Postal"/>
    <tableColumn id="6" name="Commune"/>
    <tableColumn id="7" name="Lat"/>
    <tableColumn id="8" name="Long"/>
    <tableColumn id="9" name="Source"/>
    <tableColumn id="10" name="Point de livraison"/>
    <tableColumn id="11" name="Priorité"/>
    <tableColumn id="12" name="Nombre"/>
    <tableColumn id="13" name="Type de compteur"/>
    <tableColumn id="14" name="Fournisseur de complément"/>
    <tableColumn id="15" name="Type de contrat"/>
    <tableColumn id="16" name="Plages temporelles"/>
    <tableColumn id="17" name="Utilisation"/>
    <tableColumn id="18" name="Puissance souscrite HPH (kVA)"/>
    <tableColumn id="19" name="Puissance souscrite HCH (kVA)"/>
    <tableColumn id="20" name="Puissance souscrite HPB (kVA)"/>
    <tableColumn id="21" name="Puissance souscrite HCB (kVA)"/>
    <tableColumn id="22" name="Puissance de raccordement (kVA)"/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Tableau2" ref="$A$1:$O$20">
  <autoFilter ref="$A$1:$O$20">
    <filterColumn colId="0">
      <filters>
        <filter val="Base acceuil randonneurs"/>
        <filter val="Bureaux Services techniques"/>
        <filter val="Bureaux pôle nord"/>
        <filter val="Déchèterie (1)"/>
        <filter val="Déchèterie (2)"/>
        <filter val="EKOPOL"/>
        <filter val="Ensemble de bâtiments (1)"/>
        <filter val="Ensemble de bâtiments (2)"/>
        <filter val="Maison de l'enfance"/>
        <filter val="Musée Etang Neuf"/>
        <filter val="Poste de refoulement"/>
        <filter val="SMKB"/>
        <filter val="Services généraux"/>
      </filters>
    </filterColumn>
  </autoFilter>
  <tableColumns count="15">
    <tableColumn id="1" name="Bâtiment"/>
    <tableColumn id="2" name="Activé"/>
    <tableColumn id="3" name="Adresse"/>
    <tableColumn id="4" name="Code Postal"/>
    <tableColumn id="5" name="Commune"/>
    <tableColumn id="6" name="Point de livraison"/>
    <tableColumn id="7" name="Type de compteur"/>
    <tableColumn id="8" name="Type de contrat"/>
    <tableColumn id="9" name="Plages temporelles"/>
    <tableColumn id="10" name="Utilisation"/>
    <tableColumn id="11" name="Puissance souscrite HPH (kVA)"/>
    <tableColumn id="12" name="Puissance souscrite HCH (kVA)"/>
    <tableColumn id="13" name="Puissance souscrite HPB (kVA)"/>
    <tableColumn id="14" name="Puissance souscrite HCB (kVA)"/>
    <tableColumn id="15" name="Puissance de raccordement (kVA)"/>
  </tableColumns>
  <tableStyleInfo name="TableStyleMedium13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2" dT="2025-07-24T15:01:06.80Z" personId="{7137490F-65DB-AE04-ABD7-0C1B2A134D4C}" id="{01E87256-4098-FE3E-B9CE-832D43E2FD42}" done="0">
    <text xml:space="preserve">a priori impossible vàv du TURPE
</text>
  </threadedComment>
  <threadedComment ref="G16" dT="2025-09-02T08:38:29.91Z" personId="{7137490F-65DB-AE04-ABD7-0C1B2A134D4C}" id="{9E6A9D29-2CA1-1B04-F6D3-209944FFEB86}" done="0">
    <text xml:space="preserve">À vérifier
</text>
  </threadedComment>
  <threadedComment ref="L17" dT="2025-07-24T15:01:13.82Z" personId="{7137490F-65DB-AE04-ABD7-0C1B2A134D4C}" id="{643E364C-1A2E-140C-0F00-90F31CCC6900}" done="0">
    <text xml:space="preserve">a priori impossible vàv du TURPE
</text>
  </threadedComment>
  <threadedComment ref="G17" dT="2025-09-02T08:38:35.27Z" personId="{7137490F-65DB-AE04-ABD7-0C1B2A134D4C}" id="{617A0278-C3F2-5CB2-0C72-8CA28FD53F66}" done="0">
    <text xml:space="preserve">À vérifier
</text>
  </threadedComment>
  <threadedComment ref="L18" dT="2025-07-10T10:40:03.37Z" personId="{7137490F-65DB-AE04-ABD7-0C1B2A134D4C}" id="{D7D547FA-D1BC-E1C7-B7DC-ECB2B84ACD15}" done="0">
    <text xml:space="preserve">inventé
</text>
  </threadedComment>
  <threadedComment ref="N18" dT="2025-08-14T14:36:41.91Z" personId="{7137490F-65DB-AE04-ABD7-0C1B2A134D4C}" id="{BDF119B4-D19B-05C6-76CE-BAD6ED6CEC73}" done="0">
    <text xml:space="preserve">inventé
</text>
  </threadedComment>
  <threadedComment ref="N4" dT="2025-08-14T14:36:24.42Z" personId="{7137490F-65DB-AE04-ABD7-0C1B2A134D4C}" id="{43551E34-C888-8169-D8DF-3470E30AB7C9}" done="0">
    <text xml:space="preserve">inventé
</text>
  </threadedComment>
  <threadedComment ref="G7" dT="2025-09-02T08:32:13.99Z" personId="{7137490F-65DB-AE04-ABD7-0C1B2A134D4C}" id="{C30CF958-DA8D-E311-B9DC-49411F547357}" done="0">
    <text xml:space="preserve">À préciser
</text>
  </threadedComment>
  <threadedComment ref="L9" dT="2025-08-11T14:40:22.49Z" personId="{7137490F-65DB-AE04-ABD7-0C1B2A134D4C}" id="{2AEBA47F-7997-EC02-7507-3B1818019B40}" done="0">
    <text xml:space="preserve">a priori impossible vàv du TURPE
</text>
  </threadedComment>
  <threadedComment ref="G9" dT="2025-09-02T08:34:16.37Z" personId="{7137490F-65DB-AE04-ABD7-0C1B2A134D4C}" id="{C50B59E9-70C5-993A-1ED0-E2CCF777E9A2}" done="0">
    <text xml:space="preserve">À vérifier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12" dT="2025-07-24T15:01:06.80Z" personId="{7137490F-65DB-AE04-ABD7-0C1B2A134D4C}" id="{3E092C52-4B4F-C3E9-230A-934F6AAE2FAA}" done="0">
    <text xml:space="preserve">a priori impossible vàv du TURPE
</text>
  </threadedComment>
  <threadedComment ref="G16" dT="2025-09-02T08:38:29.91Z" personId="{7137490F-65DB-AE04-ABD7-0C1B2A134D4C}" id="{2E5767FF-28AF-77B6-9A20-C53A7CDB1DEA}" done="0">
    <text xml:space="preserve">À vérifier
</text>
  </threadedComment>
  <threadedComment ref="L17" dT="2025-07-24T15:01:13.82Z" personId="{7137490F-65DB-AE04-ABD7-0C1B2A134D4C}" id="{74CA0DC4-ECBA-64AF-74B2-C375B9974BA3}" done="0">
    <text xml:space="preserve">a priori impossible vàv du TURPE
</text>
  </threadedComment>
  <threadedComment ref="G17" dT="2025-09-02T08:38:35.27Z" personId="{7137490F-65DB-AE04-ABD7-0C1B2A134D4C}" id="{3DF0023E-4747-288D-321B-F5001A93ADCA}" done="0">
    <text xml:space="preserve">À vérifier
</text>
  </threadedComment>
  <threadedComment ref="L18" dT="2025-07-10T10:40:03.37Z" personId="{7137490F-65DB-AE04-ABD7-0C1B2A134D4C}" id="{000FF276-5DE5-AD24-1EE3-CB6A90A08342}" done="0">
    <text xml:space="preserve">inventé
</text>
  </threadedComment>
  <threadedComment ref="N18" dT="2025-08-14T14:36:41.91Z" personId="{7137490F-65DB-AE04-ABD7-0C1B2A134D4C}" id="{47356154-EC92-F54B-1FDB-4380FAC7B51E}" done="0">
    <text xml:space="preserve">inventé
</text>
  </threadedComment>
  <threadedComment ref="N4" dT="2025-08-14T14:36:24.42Z" personId="{7137490F-65DB-AE04-ABD7-0C1B2A134D4C}" id="{AB11517D-021E-39C8-66E0-CFE384DECFAB}" done="0">
    <text xml:space="preserve">inventé
</text>
  </threadedComment>
  <threadedComment ref="G7" dT="2025-09-02T08:32:13.99Z" personId="{7137490F-65DB-AE04-ABD7-0C1B2A134D4C}" id="{3B2647C4-D9FF-F53E-4823-511391E8B1A3}" done="0">
    <text xml:space="preserve">À préciser
</text>
  </threadedComment>
  <threadedComment ref="L9" dT="2025-08-11T14:40:22.49Z" personId="{7137490F-65DB-AE04-ABD7-0C1B2A134D4C}" id="{DC960EC5-86C5-AEB6-ECE5-B6FD99A9B7DA}" done="0">
    <text xml:space="preserve">a priori impossible vàv du TURPE
</text>
  </threadedComment>
  <threadedComment ref="G9" dT="2025-09-02T08:34:16.37Z" personId="{7137490F-65DB-AE04-ABD7-0C1B2A134D4C}" id="{AE3A07DD-A4BC-B29C-21E6-F4E02FE7E8C9}" done="0">
    <text xml:space="preserve">À vérifier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J12" dT="2025-07-24T15:01:06.80Z" personId="{7137490F-65DB-AE04-ABD7-0C1B2A134D4C}" id="{56A8B514-20C7-A93F-D7F8-6097518D5BB9}" done="0">
    <text xml:space="preserve">a priori impossible vàv du TURPE
</text>
  </threadedComment>
  <threadedComment ref="J14" dT="2025-08-18T13:25:44.06Z" personId="{7137490F-65DB-AE04-ABD7-0C1B2A134D4C}" id="{6F09A93D-7604-E424-199C-84AF8C4B32C1}" done="0">
    <text xml:space="preserve">a priori impossible vàv du TURPE
</text>
  </threadedComment>
  <threadedComment ref="J17" dT="2025-07-24T15:01:13.82Z" personId="{7137490F-65DB-AE04-ABD7-0C1B2A134D4C}" id="{C2DF9C42-0D26-9147-3213-D3D2F8B2092B}" done="0">
    <text xml:space="preserve">a priori impossible vàv du TURPE
</text>
  </threadedComment>
  <threadedComment ref="L18" dT="2025-08-14T14:36:41.91Z" personId="{7137490F-65DB-AE04-ABD7-0C1B2A134D4C}" id="{31DBE0EA-1B50-7C06-0418-E94EAFA5FAAC}" done="0">
    <text xml:space="preserve">inventé
</text>
  </threadedComment>
  <threadedComment ref="J18" dT="2025-07-10T10:40:03.37Z" personId="{7137490F-65DB-AE04-ABD7-0C1B2A134D4C}" id="{7E483BF7-01A2-48FD-FAED-E97E1C8DEB85}" done="0">
    <text xml:space="preserve">inventé
</text>
  </threadedComment>
  <threadedComment ref="J19" dT="2025-08-18T13:25:37.47Z" personId="{7137490F-65DB-AE04-ABD7-0C1B2A134D4C}" id="{7400C717-38D9-3D3A-DF97-45B80DFD1A5E}" done="0">
    <text xml:space="preserve">a priori impossible vàv du TURPE
</text>
  </threadedComment>
  <threadedComment ref="L4" dT="2025-08-14T14:36:24.42Z" personId="{7137490F-65DB-AE04-ABD7-0C1B2A134D4C}" id="{540AA6FF-57EC-9E74-3208-86CEFED51482}" done="0">
    <text xml:space="preserve">inventé
</text>
  </threadedComment>
  <threadedComment ref="J9" dT="2025-08-11T14:40:22.49Z" personId="{7137490F-65DB-AE04-ABD7-0C1B2A134D4C}" id="{89EBE706-6A2C-C4AB-34CE-53BB7F3750F8}" done="0">
    <text xml:space="preserve">a priori impossible vàv du TURPE
</text>
  </threadedComment>
</ThreadedComments>
</file>

<file path=xl/worksheets/_rels/sheet1.xml.rels><?xml version="1.0" encoding="UTF-8" standalone="yes"?><Relationships xmlns="http://schemas.openxmlformats.org/package/2006/relationships"><Relationship  Id="rId4" Type="http://schemas.openxmlformats.org/officeDocument/2006/relationships/table" Target="../tables/table1.xml"/><Relationship  Id="rId3" Type="http://schemas.openxmlformats.org/officeDocument/2006/relationships/vmlDrawing" Target="../drawings/vmlDrawing1.vml"/><Relationship  Id="rId2" Type="http://schemas.openxmlformats.org/officeDocument/2006/relationships/comments" Target="../comments1.xml"/><Relationship  Id="rId1" Type="http://schemas.microsoft.com/office/2017/10/relationships/threadedComment" Target="../threadedComments/threadedComment1.xml"/></Relationships>
</file>

<file path=xl/worksheets/_rels/sheet2.xml.rels><?xml version="1.0" encoding="UTF-8" standalone="yes"?><Relationships xmlns="http://schemas.openxmlformats.org/package/2006/relationships"><Relationship  Id="rId4" Type="http://schemas.openxmlformats.org/officeDocument/2006/relationships/table" Target="../tables/table2.xml"/><Relationship  Id="rId3" Type="http://schemas.openxmlformats.org/officeDocument/2006/relationships/vmlDrawing" Target="../drawings/vmlDrawing2.vml"/><Relationship  Id="rId2" Type="http://schemas.openxmlformats.org/officeDocument/2006/relationships/comments" Target="../comments2.xml"/><Relationship  Id="rId1" Type="http://schemas.microsoft.com/office/2017/10/relationships/threadedComment" Target="../threadedComments/threadedComment2.xml"/></Relationships>
</file>

<file path=xl/worksheets/_rels/sheet3.xml.rels><?xml version="1.0" encoding="UTF-8" standalone="yes"?><Relationships xmlns="http://schemas.openxmlformats.org/package/2006/relationships"><Relationship  Id="rId4" Type="http://schemas.openxmlformats.org/officeDocument/2006/relationships/table" Target="../tables/table3.xml"/><Relationship  Id="rId3" Type="http://schemas.openxmlformats.org/officeDocument/2006/relationships/vmlDrawing" Target="../drawings/vmlDrawing3.vml"/><Relationship  Id="rId2" Type="http://schemas.openxmlformats.org/officeDocument/2006/relationships/comments" Target="../comments3.xml"/><Relationship  Id="rId1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xSplit="2" topLeftCell="C1" activePane="topRight" state="frozen"/>
      <selection activeCell="A1" activeCellId="0" sqref="A1"/>
    </sheetView>
  </sheetViews>
  <sheetFormatPr defaultRowHeight="14.25"/>
  <cols>
    <col bestFit="1" min="1" max="1" width="24.8515625"/>
    <col min="2" max="2" width="24.8515625"/>
    <col bestFit="1" min="3" max="3" width="19.421875"/>
    <col customWidth="1" min="4" max="4" width="27.140625"/>
    <col bestFit="1" min="5" max="5" width="20.28125"/>
    <col bestFit="1" min="6" max="6" width="19.57421875"/>
    <col bestFit="1" min="7" max="7" width="18.7109375"/>
    <col bestFit="1" min="8" max="8" width="16.57421875"/>
    <col bestFit="1" min="9" max="9" width="19.57421875"/>
    <col bestFit="1" min="10" max="10" width="18.390625"/>
    <col bestFit="1" min="11" max="12" width="29.57421875"/>
    <col bestFit="1" min="13" max="14" width="29.421875"/>
    <col bestFit="1" min="15" max="20" width="19.57421875"/>
  </cols>
  <sheetData>
    <row r="1" ht="49.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s="1" t="s">
        <v>10</v>
      </c>
      <c r="L1" s="1" t="s">
        <v>11</v>
      </c>
      <c r="M1" t="s">
        <v>12</v>
      </c>
      <c r="N1" s="1" t="s">
        <v>13</v>
      </c>
      <c r="O1" t="s">
        <v>14</v>
      </c>
      <c r="P1" s="1" t="s">
        <v>15</v>
      </c>
      <c r="Q1" t="s">
        <v>16</v>
      </c>
      <c r="R1" t="s">
        <v>17</v>
      </c>
      <c r="S1" s="1" t="s">
        <v>18</v>
      </c>
      <c r="T1" s="1" t="s">
        <v>19</v>
      </c>
      <c r="U1" s="1" t="s">
        <v>20</v>
      </c>
      <c r="V1" t="s">
        <v>21</v>
      </c>
    </row>
    <row r="2" ht="33">
      <c r="A2" t="s">
        <v>22</v>
      </c>
      <c r="B2" s="2" t="s">
        <v>23</v>
      </c>
      <c r="C2" s="2" t="s">
        <v>24</v>
      </c>
      <c r="D2" t="s">
        <v>25</v>
      </c>
      <c r="E2">
        <v>22110</v>
      </c>
      <c r="F2" t="s">
        <v>26</v>
      </c>
      <c r="G2" s="1" t="s">
        <v>27</v>
      </c>
      <c r="H2" s="1" t="s">
        <v>28</v>
      </c>
      <c r="I2" s="1" t="s">
        <v>29</v>
      </c>
      <c r="J2" s="3">
        <v>30001450879251</v>
      </c>
      <c r="K2" s="3">
        <v>10</v>
      </c>
      <c r="L2" s="3">
        <v>1</v>
      </c>
      <c r="M2" t="s">
        <v>30</v>
      </c>
      <c r="N2" s="1" t="s">
        <v>31</v>
      </c>
      <c r="O2" t="s">
        <v>32</v>
      </c>
      <c r="P2" s="1">
        <v>1</v>
      </c>
      <c r="Q2" t="s">
        <v>33</v>
      </c>
      <c r="R2">
        <v>37</v>
      </c>
      <c r="S2" s="1">
        <f t="shared" ref="S2:S3" si="0">$R2</f>
        <v>37</v>
      </c>
      <c r="T2" s="1">
        <f t="shared" ref="T2:T3" si="1">$R2</f>
        <v>37</v>
      </c>
      <c r="U2" s="1">
        <f t="shared" ref="U2:U3" si="2">$R2</f>
        <v>37</v>
      </c>
      <c r="V2">
        <v>42</v>
      </c>
    </row>
    <row r="3" ht="33">
      <c r="A3" t="s">
        <v>34</v>
      </c>
      <c r="B3" s="2" t="s">
        <v>23</v>
      </c>
      <c r="C3" s="2" t="s">
        <v>24</v>
      </c>
      <c r="D3" t="s">
        <v>35</v>
      </c>
      <c r="E3">
        <v>22110</v>
      </c>
      <c r="F3" t="s">
        <v>26</v>
      </c>
      <c r="G3" s="1" t="s">
        <v>36</v>
      </c>
      <c r="H3" s="1" t="s">
        <v>37</v>
      </c>
      <c r="I3" t="s">
        <v>29</v>
      </c>
      <c r="J3" s="3">
        <v>30001451109890</v>
      </c>
      <c r="K3" s="3">
        <v>10</v>
      </c>
      <c r="L3" s="3">
        <v>1</v>
      </c>
      <c r="M3" t="s">
        <v>30</v>
      </c>
      <c r="N3" t="s">
        <v>31</v>
      </c>
      <c r="O3" t="s">
        <v>32</v>
      </c>
      <c r="P3" s="1">
        <v>1</v>
      </c>
      <c r="Q3" t="s">
        <v>33</v>
      </c>
      <c r="R3">
        <v>72</v>
      </c>
      <c r="S3" s="1">
        <f t="shared" si="0"/>
        <v>72</v>
      </c>
      <c r="T3" s="1">
        <f t="shared" si="1"/>
        <v>72</v>
      </c>
      <c r="U3" s="1">
        <f t="shared" si="2"/>
        <v>72</v>
      </c>
      <c r="V3">
        <v>72</v>
      </c>
    </row>
    <row r="4" ht="33">
      <c r="A4" t="s">
        <v>38</v>
      </c>
      <c r="B4" s="2" t="s">
        <v>23</v>
      </c>
      <c r="C4" s="2" t="s">
        <v>24</v>
      </c>
      <c r="D4" t="s">
        <v>39</v>
      </c>
      <c r="E4">
        <v>22110</v>
      </c>
      <c r="F4" t="s">
        <v>26</v>
      </c>
      <c r="G4" s="1" t="s">
        <v>40</v>
      </c>
      <c r="H4" s="1" t="s">
        <v>41</v>
      </c>
      <c r="I4" t="s">
        <v>29</v>
      </c>
      <c r="J4" s="3">
        <v>30001450601856</v>
      </c>
      <c r="K4" s="3">
        <v>10</v>
      </c>
      <c r="L4" s="3">
        <v>1</v>
      </c>
      <c r="M4" t="s">
        <v>30</v>
      </c>
      <c r="N4" s="1" t="s">
        <v>42</v>
      </c>
      <c r="O4" t="s">
        <v>43</v>
      </c>
      <c r="P4" s="1">
        <v>4</v>
      </c>
      <c r="Q4" t="s">
        <v>33</v>
      </c>
      <c r="R4">
        <v>78</v>
      </c>
      <c r="S4" s="1">
        <f>R4</f>
        <v>78</v>
      </c>
      <c r="T4">
        <f>S4</f>
        <v>78</v>
      </c>
      <c r="U4">
        <f>T4</f>
        <v>78</v>
      </c>
      <c r="V4">
        <v>78</v>
      </c>
    </row>
    <row r="5" ht="33">
      <c r="A5" t="s">
        <v>44</v>
      </c>
      <c r="B5" s="2" t="s">
        <v>23</v>
      </c>
      <c r="C5" s="2" t="s">
        <v>24</v>
      </c>
      <c r="D5" t="s">
        <v>45</v>
      </c>
      <c r="E5">
        <v>22110</v>
      </c>
      <c r="F5" t="s">
        <v>26</v>
      </c>
      <c r="G5" s="1" t="s">
        <v>46</v>
      </c>
      <c r="H5" s="1" t="s">
        <v>47</v>
      </c>
      <c r="I5" t="s">
        <v>29</v>
      </c>
      <c r="J5" s="3">
        <v>14581620753018</v>
      </c>
      <c r="K5" s="3">
        <v>10</v>
      </c>
      <c r="L5" s="3">
        <v>1</v>
      </c>
      <c r="M5" t="s">
        <v>48</v>
      </c>
      <c r="N5" t="s">
        <v>31</v>
      </c>
      <c r="O5" t="s">
        <v>32</v>
      </c>
      <c r="P5" s="1">
        <v>1</v>
      </c>
      <c r="Q5" t="s">
        <v>33</v>
      </c>
      <c r="R5">
        <v>18</v>
      </c>
      <c r="S5" s="1">
        <f t="shared" ref="S5:S9" si="3">$R5</f>
        <v>18</v>
      </c>
      <c r="T5" s="1">
        <f t="shared" ref="T5:T9" si="4">$R5</f>
        <v>18</v>
      </c>
      <c r="U5" s="1">
        <f t="shared" ref="U5:U9" si="5">$R5</f>
        <v>18</v>
      </c>
      <c r="V5">
        <v>36</v>
      </c>
    </row>
    <row r="6" ht="33">
      <c r="A6" t="s">
        <v>49</v>
      </c>
      <c r="B6" s="2" t="s">
        <v>23</v>
      </c>
      <c r="C6" s="2" t="s">
        <v>24</v>
      </c>
      <c r="D6" t="s">
        <v>50</v>
      </c>
      <c r="E6">
        <v>22110</v>
      </c>
      <c r="F6" t="s">
        <v>26</v>
      </c>
      <c r="G6" s="1" t="s">
        <v>51</v>
      </c>
      <c r="H6" s="1" t="s">
        <v>52</v>
      </c>
      <c r="I6" t="s">
        <v>29</v>
      </c>
      <c r="J6" s="3">
        <v>14597684492401</v>
      </c>
      <c r="K6" s="3">
        <v>10</v>
      </c>
      <c r="L6" s="3">
        <v>1</v>
      </c>
      <c r="M6" t="s">
        <v>48</v>
      </c>
      <c r="N6" t="s">
        <v>31</v>
      </c>
      <c r="O6" t="s">
        <v>32</v>
      </c>
      <c r="P6" s="1">
        <v>1</v>
      </c>
      <c r="Q6" t="s">
        <v>33</v>
      </c>
      <c r="R6">
        <v>36</v>
      </c>
      <c r="S6" s="1">
        <f t="shared" si="3"/>
        <v>36</v>
      </c>
      <c r="T6" s="1">
        <f t="shared" si="4"/>
        <v>36</v>
      </c>
      <c r="U6" s="1">
        <f t="shared" si="5"/>
        <v>36</v>
      </c>
      <c r="V6">
        <v>36</v>
      </c>
    </row>
    <row r="7" ht="33">
      <c r="A7" t="s">
        <v>53</v>
      </c>
      <c r="B7" s="2" t="s">
        <v>23</v>
      </c>
      <c r="C7" s="2" t="s">
        <v>24</v>
      </c>
      <c r="D7" t="s">
        <v>54</v>
      </c>
      <c r="E7">
        <v>22110</v>
      </c>
      <c r="F7" t="s">
        <v>26</v>
      </c>
      <c r="G7" s="1" t="s">
        <v>55</v>
      </c>
      <c r="H7" s="1" t="s">
        <v>56</v>
      </c>
      <c r="I7" t="s">
        <v>29</v>
      </c>
      <c r="J7" s="3">
        <v>50024096820332</v>
      </c>
      <c r="K7" s="3">
        <v>10</v>
      </c>
      <c r="L7" s="3">
        <v>1</v>
      </c>
      <c r="M7" t="s">
        <v>30</v>
      </c>
      <c r="N7" t="s">
        <v>31</v>
      </c>
      <c r="O7" t="s">
        <v>32</v>
      </c>
      <c r="P7" s="1">
        <v>1</v>
      </c>
      <c r="Q7" t="s">
        <v>57</v>
      </c>
      <c r="R7">
        <v>6</v>
      </c>
      <c r="S7" s="1">
        <f t="shared" si="3"/>
        <v>6</v>
      </c>
      <c r="T7" s="1">
        <f t="shared" si="4"/>
        <v>6</v>
      </c>
      <c r="U7" s="1">
        <f t="shared" si="5"/>
        <v>6</v>
      </c>
      <c r="V7">
        <v>36</v>
      </c>
    </row>
    <row r="8" ht="33">
      <c r="A8" s="1" t="s">
        <v>58</v>
      </c>
      <c r="B8" s="2" t="s">
        <v>23</v>
      </c>
      <c r="C8" s="2" t="s">
        <v>24</v>
      </c>
      <c r="D8" s="1" t="s">
        <v>59</v>
      </c>
      <c r="E8" s="1">
        <v>22480</v>
      </c>
      <c r="F8" s="1" t="s">
        <v>60</v>
      </c>
      <c r="G8" t="s">
        <v>61</v>
      </c>
      <c r="H8" s="1" t="s">
        <v>62</v>
      </c>
      <c r="I8" t="s">
        <v>29</v>
      </c>
      <c r="J8" s="3">
        <v>14505643960682</v>
      </c>
      <c r="K8" s="3">
        <v>10</v>
      </c>
      <c r="L8" s="3">
        <v>1</v>
      </c>
      <c r="M8" s="1" t="s">
        <v>48</v>
      </c>
      <c r="N8" t="s">
        <v>31</v>
      </c>
      <c r="O8" s="1" t="s">
        <v>32</v>
      </c>
      <c r="P8">
        <v>2</v>
      </c>
      <c r="Q8" s="1" t="s">
        <v>63</v>
      </c>
      <c r="R8" s="1">
        <v>18</v>
      </c>
      <c r="S8" s="1">
        <f t="shared" si="3"/>
        <v>18</v>
      </c>
      <c r="T8" s="1">
        <f t="shared" si="4"/>
        <v>18</v>
      </c>
      <c r="U8" s="1">
        <f t="shared" si="5"/>
        <v>18</v>
      </c>
      <c r="V8" s="1">
        <v>36</v>
      </c>
      <c r="W8" s="1"/>
      <c r="X8" s="1"/>
      <c r="Y8" s="1"/>
      <c r="Z8" s="1"/>
      <c r="AA8" s="1"/>
      <c r="AB8" s="1"/>
      <c r="AC8" s="1"/>
      <c r="AD8" s="1"/>
      <c r="AE8" s="1"/>
    </row>
    <row r="9" ht="33">
      <c r="A9" t="s">
        <v>64</v>
      </c>
      <c r="B9" s="2" t="s">
        <v>23</v>
      </c>
      <c r="C9" s="2" t="s">
        <v>24</v>
      </c>
      <c r="D9" t="s">
        <v>65</v>
      </c>
      <c r="E9">
        <v>22480</v>
      </c>
      <c r="F9" t="s">
        <v>60</v>
      </c>
      <c r="G9" s="1" t="s">
        <v>66</v>
      </c>
      <c r="H9" s="1" t="s">
        <v>67</v>
      </c>
      <c r="I9" t="s">
        <v>29</v>
      </c>
      <c r="J9" s="3">
        <v>14520549851252</v>
      </c>
      <c r="K9" s="3">
        <v>10</v>
      </c>
      <c r="L9" s="3">
        <v>1</v>
      </c>
      <c r="M9" t="s">
        <v>48</v>
      </c>
      <c r="N9" t="s">
        <v>31</v>
      </c>
      <c r="O9" t="s">
        <v>32</v>
      </c>
      <c r="P9" s="1">
        <v>1</v>
      </c>
      <c r="Q9" t="s">
        <v>33</v>
      </c>
      <c r="R9">
        <v>6</v>
      </c>
      <c r="S9" s="1">
        <f t="shared" si="3"/>
        <v>6</v>
      </c>
      <c r="T9" s="1">
        <f t="shared" si="4"/>
        <v>6</v>
      </c>
      <c r="U9" s="1">
        <f t="shared" si="5"/>
        <v>6</v>
      </c>
      <c r="V9">
        <v>36</v>
      </c>
    </row>
    <row r="10" ht="66">
      <c r="A10" t="s">
        <v>68</v>
      </c>
      <c r="B10" s="2" t="s">
        <v>23</v>
      </c>
      <c r="C10" s="2" t="s">
        <v>24</v>
      </c>
      <c r="D10" t="s">
        <v>69</v>
      </c>
      <c r="E10">
        <v>22480</v>
      </c>
      <c r="F10" t="s">
        <v>60</v>
      </c>
      <c r="G10" s="1" t="s">
        <v>70</v>
      </c>
      <c r="H10" s="1" t="s">
        <v>71</v>
      </c>
      <c r="I10" t="s">
        <v>29</v>
      </c>
      <c r="J10" s="3">
        <v>14570911638604</v>
      </c>
      <c r="K10" s="3">
        <v>10</v>
      </c>
      <c r="L10" s="3">
        <v>1</v>
      </c>
      <c r="M10" t="s">
        <v>48</v>
      </c>
      <c r="N10" t="s">
        <v>31</v>
      </c>
      <c r="O10" t="s">
        <v>32</v>
      </c>
      <c r="P10" s="1">
        <v>2</v>
      </c>
      <c r="Q10" t="s">
        <v>63</v>
      </c>
      <c r="R10">
        <v>36</v>
      </c>
      <c r="S10" s="1">
        <f t="shared" ref="S10:S17" si="6">$R10</f>
        <v>36</v>
      </c>
      <c r="T10" s="1">
        <f t="shared" ref="T10:T17" si="7">$R10</f>
        <v>36</v>
      </c>
      <c r="U10" s="1">
        <f t="shared" ref="U10:U17" si="8">$R10</f>
        <v>36</v>
      </c>
      <c r="V10">
        <v>36</v>
      </c>
    </row>
    <row r="11" ht="14.25">
      <c r="A11" t="s">
        <v>72</v>
      </c>
      <c r="B11" s="2" t="s">
        <v>23</v>
      </c>
      <c r="C11" s="2" t="s">
        <v>24</v>
      </c>
      <c r="D11" t="s">
        <v>73</v>
      </c>
      <c r="E11">
        <v>22110</v>
      </c>
      <c r="F11" t="s">
        <v>74</v>
      </c>
      <c r="G11" s="1" t="s">
        <v>75</v>
      </c>
      <c r="H11" s="1" t="s">
        <v>76</v>
      </c>
      <c r="I11" t="s">
        <v>29</v>
      </c>
      <c r="J11" s="3">
        <v>14533429732023</v>
      </c>
      <c r="K11" s="3">
        <v>10</v>
      </c>
      <c r="L11" s="3">
        <v>1</v>
      </c>
      <c r="M11" t="s">
        <v>48</v>
      </c>
      <c r="N11" t="s">
        <v>31</v>
      </c>
      <c r="O11" t="s">
        <v>32</v>
      </c>
      <c r="P11" s="1">
        <v>1</v>
      </c>
      <c r="Q11" t="s">
        <v>33</v>
      </c>
      <c r="R11">
        <v>18</v>
      </c>
      <c r="S11" s="1">
        <f t="shared" si="6"/>
        <v>18</v>
      </c>
      <c r="T11" s="1">
        <f t="shared" si="7"/>
        <v>18</v>
      </c>
      <c r="U11" s="1">
        <f t="shared" si="8"/>
        <v>18</v>
      </c>
      <c r="V11">
        <v>36</v>
      </c>
    </row>
    <row r="12" ht="14.25">
      <c r="A12" t="s">
        <v>77</v>
      </c>
      <c r="B12" s="2" t="s">
        <v>23</v>
      </c>
      <c r="C12" s="2" t="s">
        <v>24</v>
      </c>
      <c r="D12" t="s">
        <v>78</v>
      </c>
      <c r="E12">
        <v>22110</v>
      </c>
      <c r="F12" t="s">
        <v>74</v>
      </c>
      <c r="G12" s="1" t="s">
        <v>79</v>
      </c>
      <c r="H12" s="1" t="s">
        <v>80</v>
      </c>
      <c r="I12" t="s">
        <v>29</v>
      </c>
      <c r="J12" s="3">
        <v>14551808900995</v>
      </c>
      <c r="K12" s="3">
        <v>10</v>
      </c>
      <c r="L12" s="3">
        <v>1</v>
      </c>
      <c r="M12" t="s">
        <v>48</v>
      </c>
      <c r="N12" t="s">
        <v>31</v>
      </c>
      <c r="O12" t="s">
        <v>32</v>
      </c>
      <c r="P12" s="1">
        <v>1</v>
      </c>
      <c r="Q12" t="s">
        <v>33</v>
      </c>
      <c r="R12">
        <v>24</v>
      </c>
      <c r="S12" s="1">
        <f t="shared" si="6"/>
        <v>24</v>
      </c>
      <c r="T12" s="1">
        <f t="shared" si="7"/>
        <v>24</v>
      </c>
      <c r="U12" s="1">
        <f t="shared" si="8"/>
        <v>24</v>
      </c>
      <c r="V12">
        <v>36</v>
      </c>
    </row>
    <row r="13" ht="14.25">
      <c r="A13" t="s">
        <v>81</v>
      </c>
      <c r="B13" s="2" t="s">
        <v>23</v>
      </c>
      <c r="C13" s="2" t="s">
        <v>24</v>
      </c>
      <c r="D13" t="s">
        <v>82</v>
      </c>
      <c r="E13">
        <v>22340</v>
      </c>
      <c r="F13" t="s">
        <v>83</v>
      </c>
      <c r="G13" s="1" t="s">
        <v>84</v>
      </c>
      <c r="H13" s="1" t="s">
        <v>85</v>
      </c>
      <c r="I13" t="s">
        <v>29</v>
      </c>
      <c r="J13" s="3">
        <v>14574529662103</v>
      </c>
      <c r="K13" s="3">
        <v>10</v>
      </c>
      <c r="L13" s="3">
        <v>1</v>
      </c>
      <c r="M13" t="s">
        <v>48</v>
      </c>
      <c r="N13" t="s">
        <v>31</v>
      </c>
      <c r="O13" t="s">
        <v>32</v>
      </c>
      <c r="P13" s="1">
        <v>1</v>
      </c>
      <c r="Q13" t="s">
        <v>33</v>
      </c>
      <c r="R13">
        <v>12</v>
      </c>
      <c r="S13" s="1">
        <f t="shared" si="6"/>
        <v>12</v>
      </c>
      <c r="T13" s="1">
        <f t="shared" si="7"/>
        <v>12</v>
      </c>
      <c r="U13" s="1">
        <f t="shared" si="8"/>
        <v>12</v>
      </c>
      <c r="V13">
        <v>36</v>
      </c>
    </row>
    <row r="14" ht="14.25">
      <c r="A14" t="s">
        <v>86</v>
      </c>
      <c r="B14" s="2" t="s">
        <v>23</v>
      </c>
      <c r="C14" s="2" t="s">
        <v>24</v>
      </c>
      <c r="D14" t="s">
        <v>87</v>
      </c>
      <c r="E14">
        <v>22480</v>
      </c>
      <c r="F14" t="s">
        <v>88</v>
      </c>
      <c r="G14" s="1" t="s">
        <v>89</v>
      </c>
      <c r="H14" s="1" t="s">
        <v>90</v>
      </c>
      <c r="I14" t="s">
        <v>29</v>
      </c>
      <c r="J14" s="3">
        <v>14525180810824</v>
      </c>
      <c r="K14" s="3">
        <v>10</v>
      </c>
      <c r="L14" s="3">
        <v>1</v>
      </c>
      <c r="M14" t="s">
        <v>48</v>
      </c>
      <c r="N14" t="s">
        <v>31</v>
      </c>
      <c r="O14" t="s">
        <v>32</v>
      </c>
      <c r="P14" s="1">
        <v>1</v>
      </c>
      <c r="Q14" t="s">
        <v>33</v>
      </c>
      <c r="R14">
        <v>36</v>
      </c>
      <c r="S14" s="1">
        <f t="shared" si="6"/>
        <v>36</v>
      </c>
      <c r="T14" s="1">
        <f t="shared" si="7"/>
        <v>36</v>
      </c>
      <c r="U14" s="1">
        <f t="shared" si="8"/>
        <v>36</v>
      </c>
      <c r="V14">
        <v>36</v>
      </c>
    </row>
    <row r="15" ht="14.25">
      <c r="A15" t="s">
        <v>91</v>
      </c>
      <c r="B15" s="2" t="s">
        <v>23</v>
      </c>
      <c r="C15" s="2" t="s">
        <v>24</v>
      </c>
      <c r="D15" t="s">
        <v>92</v>
      </c>
      <c r="E15">
        <v>22110</v>
      </c>
      <c r="F15" t="s">
        <v>93</v>
      </c>
      <c r="G15" s="1" t="s">
        <v>94</v>
      </c>
      <c r="H15" s="1" t="s">
        <v>95</v>
      </c>
      <c r="I15" t="s">
        <v>96</v>
      </c>
      <c r="J15" s="3">
        <v>14583646839053</v>
      </c>
      <c r="K15" s="3">
        <v>10</v>
      </c>
      <c r="L15" s="3">
        <v>1</v>
      </c>
      <c r="M15" t="s">
        <v>48</v>
      </c>
      <c r="N15" t="s">
        <v>31</v>
      </c>
      <c r="O15" t="s">
        <v>32</v>
      </c>
      <c r="P15" s="1">
        <v>2</v>
      </c>
      <c r="Q15" t="s">
        <v>63</v>
      </c>
      <c r="R15">
        <v>18</v>
      </c>
      <c r="S15" s="1">
        <f t="shared" si="6"/>
        <v>18</v>
      </c>
      <c r="T15" s="1">
        <f t="shared" si="7"/>
        <v>18</v>
      </c>
      <c r="U15" s="1">
        <f t="shared" si="8"/>
        <v>18</v>
      </c>
      <c r="V15">
        <v>36</v>
      </c>
    </row>
    <row r="16" ht="14.25">
      <c r="A16" t="s">
        <v>97</v>
      </c>
      <c r="B16" s="2" t="s">
        <v>23</v>
      </c>
      <c r="C16" s="2" t="s">
        <v>24</v>
      </c>
      <c r="D16" t="s">
        <v>98</v>
      </c>
      <c r="E16">
        <v>22480</v>
      </c>
      <c r="F16" t="s">
        <v>99</v>
      </c>
      <c r="G16" s="1" t="s">
        <v>100</v>
      </c>
      <c r="H16" s="1" t="s">
        <v>101</v>
      </c>
      <c r="I16" t="s">
        <v>29</v>
      </c>
      <c r="J16" s="3">
        <v>14545586032026</v>
      </c>
      <c r="K16" s="3">
        <v>10</v>
      </c>
      <c r="L16" s="3">
        <v>1</v>
      </c>
      <c r="M16" t="s">
        <v>48</v>
      </c>
      <c r="N16" t="s">
        <v>31</v>
      </c>
      <c r="O16" t="s">
        <v>32</v>
      </c>
      <c r="P16" s="1">
        <v>1</v>
      </c>
      <c r="Q16" t="s">
        <v>33</v>
      </c>
      <c r="R16">
        <v>36</v>
      </c>
      <c r="S16" s="1">
        <f t="shared" si="6"/>
        <v>36</v>
      </c>
      <c r="T16" s="1">
        <f t="shared" si="7"/>
        <v>36</v>
      </c>
      <c r="U16" s="1">
        <f t="shared" si="8"/>
        <v>36</v>
      </c>
      <c r="V16">
        <v>36</v>
      </c>
    </row>
    <row r="17" ht="14.25">
      <c r="A17" t="s">
        <v>102</v>
      </c>
      <c r="B17" s="2" t="s">
        <v>23</v>
      </c>
      <c r="C17" s="2" t="s">
        <v>24</v>
      </c>
      <c r="D17" t="s">
        <v>98</v>
      </c>
      <c r="E17">
        <v>22480</v>
      </c>
      <c r="F17" t="s">
        <v>99</v>
      </c>
      <c r="G17" t="s">
        <v>100</v>
      </c>
      <c r="H17" t="s">
        <v>101</v>
      </c>
      <c r="I17" t="s">
        <v>29</v>
      </c>
      <c r="J17" s="3">
        <v>14545730749855</v>
      </c>
      <c r="K17" s="3">
        <v>10</v>
      </c>
      <c r="L17" s="3">
        <v>1</v>
      </c>
      <c r="M17" t="s">
        <v>48</v>
      </c>
      <c r="N17" t="s">
        <v>31</v>
      </c>
      <c r="O17" t="s">
        <v>32</v>
      </c>
      <c r="P17" s="1">
        <v>1</v>
      </c>
      <c r="Q17" t="s">
        <v>33</v>
      </c>
      <c r="R17">
        <v>12</v>
      </c>
      <c r="S17" s="1">
        <f t="shared" si="6"/>
        <v>12</v>
      </c>
      <c r="T17" s="1">
        <f t="shared" si="7"/>
        <v>12</v>
      </c>
      <c r="U17" s="1">
        <f t="shared" si="8"/>
        <v>12</v>
      </c>
      <c r="V17">
        <v>12</v>
      </c>
    </row>
    <row r="18" ht="14.25">
      <c r="A18" t="s">
        <v>103</v>
      </c>
      <c r="B18" s="2" t="s">
        <v>23</v>
      </c>
      <c r="C18" s="2" t="s">
        <v>24</v>
      </c>
      <c r="D18" t="s">
        <v>104</v>
      </c>
      <c r="E18">
        <v>22570</v>
      </c>
      <c r="F18" t="s">
        <v>105</v>
      </c>
      <c r="G18" s="1" t="s">
        <v>106</v>
      </c>
      <c r="H18" s="1" t="s">
        <v>107</v>
      </c>
      <c r="I18" t="s">
        <v>29</v>
      </c>
      <c r="J18" s="4" t="s">
        <v>108</v>
      </c>
      <c r="K18" s="3">
        <v>10</v>
      </c>
      <c r="L18" s="3">
        <v>1</v>
      </c>
      <c r="M18" t="s">
        <v>30</v>
      </c>
      <c r="N18" s="1" t="s">
        <v>109</v>
      </c>
      <c r="O18" t="s">
        <v>43</v>
      </c>
      <c r="P18" s="1">
        <v>4</v>
      </c>
      <c r="Q18" t="s">
        <v>33</v>
      </c>
      <c r="R18">
        <v>132</v>
      </c>
      <c r="S18" s="1">
        <f>R18</f>
        <v>132</v>
      </c>
      <c r="T18">
        <f>S18</f>
        <v>132</v>
      </c>
      <c r="U18">
        <f>T18</f>
        <v>132</v>
      </c>
      <c r="V18">
        <v>250</v>
      </c>
    </row>
    <row r="19" ht="14.25">
      <c r="A19" s="1" t="s">
        <v>110</v>
      </c>
      <c r="B19" s="2" t="s">
        <v>111</v>
      </c>
      <c r="C19" s="2" t="s">
        <v>24</v>
      </c>
      <c r="D19" s="5" t="s">
        <v>112</v>
      </c>
      <c r="E19" s="1">
        <v>22110</v>
      </c>
      <c r="F19" s="1" t="s">
        <v>26</v>
      </c>
      <c r="G19" s="1" t="s">
        <v>113</v>
      </c>
      <c r="H19" t="s">
        <v>114</v>
      </c>
      <c r="I19" t="s">
        <v>29</v>
      </c>
      <c r="J19" s="3">
        <v>14501012966710</v>
      </c>
      <c r="K19" s="3">
        <v>10</v>
      </c>
      <c r="L19" s="3">
        <v>1</v>
      </c>
      <c r="M19" s="1" t="s">
        <v>48</v>
      </c>
      <c r="N19" s="1" t="s">
        <v>115</v>
      </c>
      <c r="O19" s="1" t="s">
        <v>32</v>
      </c>
      <c r="P19">
        <v>1</v>
      </c>
      <c r="Q19" s="1" t="s">
        <v>33</v>
      </c>
      <c r="R19" s="1">
        <v>36</v>
      </c>
      <c r="S19">
        <f t="shared" ref="S19:S20" si="9">$R19</f>
        <v>36</v>
      </c>
      <c r="T19">
        <f t="shared" ref="T19:T20" si="10">$R19</f>
        <v>36</v>
      </c>
      <c r="U19">
        <f t="shared" ref="U19:U20" si="11">$R19</f>
        <v>36</v>
      </c>
      <c r="V19" s="1">
        <v>36</v>
      </c>
    </row>
    <row r="20" ht="14.25">
      <c r="A20" t="s">
        <v>116</v>
      </c>
      <c r="B20" s="2" t="s">
        <v>23</v>
      </c>
      <c r="C20" s="2" t="s">
        <v>24</v>
      </c>
      <c r="D20" t="s">
        <v>117</v>
      </c>
      <c r="E20">
        <v>22110</v>
      </c>
      <c r="F20" t="s">
        <v>26</v>
      </c>
      <c r="G20" s="1" t="s">
        <v>118</v>
      </c>
      <c r="H20" s="1" t="s">
        <v>119</v>
      </c>
      <c r="I20" t="s">
        <v>29</v>
      </c>
      <c r="J20" s="3">
        <v>50055068074923</v>
      </c>
      <c r="K20" s="3">
        <v>10</v>
      </c>
      <c r="L20" s="3">
        <v>1</v>
      </c>
      <c r="M20" t="s">
        <v>30</v>
      </c>
      <c r="N20" t="s">
        <v>31</v>
      </c>
      <c r="O20" t="s">
        <v>32</v>
      </c>
      <c r="P20" s="1">
        <v>1</v>
      </c>
      <c r="Q20" t="s">
        <v>33</v>
      </c>
      <c r="R20">
        <v>12</v>
      </c>
      <c r="S20" s="1">
        <f t="shared" si="9"/>
        <v>12</v>
      </c>
      <c r="T20" s="1">
        <f t="shared" si="10"/>
        <v>12</v>
      </c>
      <c r="U20" s="1">
        <f t="shared" si="11"/>
        <v>12</v>
      </c>
      <c r="V20">
        <v>36</v>
      </c>
    </row>
    <row r="21" ht="14.25">
      <c r="A21" s="1" t="s">
        <v>120</v>
      </c>
      <c r="B21" s="2" t="s">
        <v>111</v>
      </c>
      <c r="C21" s="2" t="s">
        <v>24</v>
      </c>
      <c r="D21" s="1" t="s">
        <v>121</v>
      </c>
      <c r="E21" s="1">
        <v>22480</v>
      </c>
      <c r="F21" s="1" t="s">
        <v>99</v>
      </c>
      <c r="G21" s="1" t="s">
        <v>122</v>
      </c>
      <c r="H21" s="1" t="s">
        <v>123</v>
      </c>
      <c r="I21" s="1" t="s">
        <v>29</v>
      </c>
      <c r="J21" s="3">
        <v>3</v>
      </c>
      <c r="K21" s="3">
        <v>1</v>
      </c>
      <c r="L21" s="3">
        <v>1</v>
      </c>
      <c r="M21" s="1" t="s">
        <v>30</v>
      </c>
      <c r="N21" s="1" t="s">
        <v>31</v>
      </c>
      <c r="O21" s="1" t="s">
        <v>43</v>
      </c>
      <c r="P21">
        <v>4</v>
      </c>
      <c r="Q21" s="1" t="s">
        <v>33</v>
      </c>
      <c r="R21" s="1">
        <v>900</v>
      </c>
      <c r="S21">
        <v>900</v>
      </c>
      <c r="T21">
        <v>900</v>
      </c>
      <c r="U21">
        <v>900</v>
      </c>
      <c r="V21" s="1">
        <v>1000</v>
      </c>
    </row>
    <row r="22" ht="14.25">
      <c r="A22" s="1" t="s">
        <v>124</v>
      </c>
      <c r="B22" s="2" t="s">
        <v>111</v>
      </c>
      <c r="C22" s="2" t="s">
        <v>24</v>
      </c>
      <c r="D22" s="1" t="s">
        <v>125</v>
      </c>
      <c r="E22" s="1">
        <v>22110</v>
      </c>
      <c r="F22" s="1" t="s">
        <v>26</v>
      </c>
      <c r="G22" s="1" t="s">
        <v>126</v>
      </c>
      <c r="H22" t="s">
        <v>127</v>
      </c>
      <c r="I22" t="s">
        <v>29</v>
      </c>
      <c r="J22" s="3">
        <v>1</v>
      </c>
      <c r="K22" s="3">
        <v>1</v>
      </c>
      <c r="L22" s="3">
        <v>1</v>
      </c>
      <c r="M22" s="1" t="s">
        <v>48</v>
      </c>
      <c r="N22" t="s">
        <v>31</v>
      </c>
      <c r="O22" s="1" t="s">
        <v>43</v>
      </c>
      <c r="P22" s="1">
        <v>4</v>
      </c>
      <c r="Q22" s="1" t="s">
        <v>33</v>
      </c>
      <c r="R22" s="1">
        <v>132</v>
      </c>
      <c r="S22" s="1">
        <v>132</v>
      </c>
      <c r="T22" s="1">
        <v>132</v>
      </c>
      <c r="U22" s="1">
        <v>132</v>
      </c>
      <c r="V22" s="1">
        <v>250</v>
      </c>
    </row>
    <row r="23" ht="14.25">
      <c r="A23" s="1" t="s">
        <v>128</v>
      </c>
      <c r="B23" s="2" t="s">
        <v>111</v>
      </c>
      <c r="C23" s="2" t="s">
        <v>129</v>
      </c>
      <c r="D23" s="1" t="s">
        <v>125</v>
      </c>
      <c r="E23" s="1" t="s">
        <v>125</v>
      </c>
      <c r="F23" s="1" t="s">
        <v>125</v>
      </c>
      <c r="G23" t="s">
        <v>126</v>
      </c>
      <c r="H23" s="2" t="s">
        <v>127</v>
      </c>
      <c r="I23" t="s">
        <v>29</v>
      </c>
      <c r="J23" s="3">
        <v>21</v>
      </c>
      <c r="K23" s="3">
        <v>9</v>
      </c>
      <c r="L23" s="3">
        <v>10</v>
      </c>
      <c r="M23" s="1" t="s">
        <v>48</v>
      </c>
      <c r="N23" t="s">
        <v>31</v>
      </c>
      <c r="O23" s="1" t="s">
        <v>32</v>
      </c>
      <c r="P23" s="1">
        <v>1</v>
      </c>
      <c r="Q23" s="1" t="s">
        <v>33</v>
      </c>
      <c r="R23" s="1">
        <v>6</v>
      </c>
      <c r="S23" s="1">
        <v>6</v>
      </c>
      <c r="T23" s="1">
        <v>6</v>
      </c>
      <c r="U23" s="1">
        <v>6</v>
      </c>
      <c r="V23" s="1">
        <v>6</v>
      </c>
    </row>
    <row r="24" ht="14.25">
      <c r="A24" s="1" t="str">
        <f>A23</f>
        <v>Ménage</v>
      </c>
      <c r="B24" s="1" t="s">
        <v>111</v>
      </c>
      <c r="C24" s="2" t="s">
        <v>130</v>
      </c>
      <c r="D24" s="1" t="str">
        <f>D23</f>
        <v xml:space="preserve">à remplir</v>
      </c>
      <c r="E24" s="1" t="str">
        <f>E23</f>
        <v xml:space="preserve">à remplir</v>
      </c>
      <c r="F24" s="1" t="str">
        <f>F23</f>
        <v xml:space="preserve">à remplir</v>
      </c>
      <c r="G24" s="2" t="s">
        <v>61</v>
      </c>
      <c r="H24" s="1" t="s">
        <v>62</v>
      </c>
      <c r="I24" s="1" t="str">
        <f>I23</f>
        <v>ALEX</v>
      </c>
      <c r="J24" s="1">
        <v>22</v>
      </c>
      <c r="K24" s="1">
        <f>K23</f>
        <v>9</v>
      </c>
      <c r="L24" s="1">
        <f>L23</f>
        <v>10</v>
      </c>
      <c r="M24" s="1" t="str">
        <f>M23</f>
        <v>LNK</v>
      </c>
      <c r="N24" s="1" t="s">
        <v>31</v>
      </c>
      <c r="O24" s="1" t="str">
        <f>O23</f>
        <v>C5</v>
      </c>
      <c r="P24" s="1">
        <f>P23</f>
        <v>1</v>
      </c>
      <c r="Q24" s="1" t="str">
        <f>Q23</f>
        <v>CU</v>
      </c>
      <c r="R24" s="1">
        <f>R23</f>
        <v>6</v>
      </c>
      <c r="S24" s="1">
        <f>S23</f>
        <v>6</v>
      </c>
      <c r="T24" s="1">
        <f>T23</f>
        <v>6</v>
      </c>
      <c r="U24" s="1">
        <f>U23</f>
        <v>6</v>
      </c>
      <c r="V24" s="1">
        <f>V23</f>
        <v>6</v>
      </c>
    </row>
    <row r="25" ht="14.25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xSplit="2" topLeftCell="C1" activePane="topRight" state="frozen"/>
      <selection activeCell="A1" activeCellId="0" sqref="A1"/>
    </sheetView>
  </sheetViews>
  <sheetFormatPr defaultRowHeight="14.25"/>
  <cols>
    <col bestFit="1" min="1" max="1" width="24.8515625"/>
    <col bestFit="1" min="2" max="2" width="8.57421875"/>
    <col bestFit="1" min="3" max="3" width="9.00390625"/>
    <col bestFit="1" customWidth="1" min="4" max="4" width="19.421875"/>
    <col bestFit="1" min="5" max="5" width="13.421875"/>
    <col bestFit="1" min="6" max="6" width="20.28125"/>
    <col bestFit="1" min="7" max="7" width="18.7109375"/>
    <col bestFit="1" min="8" max="8" width="16.57421875"/>
    <col bestFit="1" min="9" max="9" width="9.00390625"/>
    <col bestFit="1" min="10" max="10" width="18.390625"/>
    <col bestFit="1" min="11" max="11" width="9.7109375"/>
    <col bestFit="1" min="12" max="12" width="10.28125"/>
    <col bestFit="1" min="13" max="13" width="18.7109375"/>
    <col bestFit="1" min="14" max="14" width="27.421875"/>
    <col bestFit="1" min="15" max="15" width="16.57421875"/>
    <col bestFit="1" min="16" max="16" width="19.57421875"/>
    <col bestFit="1" min="17" max="17" width="12.421875"/>
    <col bestFit="1" min="18" max="20" width="19.57421875"/>
  </cols>
  <sheetData>
    <row r="1" ht="49.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s="1" t="s">
        <v>10</v>
      </c>
      <c r="L1" s="1" t="s">
        <v>11</v>
      </c>
      <c r="M1" t="s">
        <v>12</v>
      </c>
      <c r="N1" s="1" t="s">
        <v>13</v>
      </c>
      <c r="O1" t="s">
        <v>14</v>
      </c>
      <c r="P1" s="1" t="s">
        <v>15</v>
      </c>
      <c r="Q1" t="s">
        <v>16</v>
      </c>
      <c r="R1" t="s">
        <v>17</v>
      </c>
      <c r="S1" s="1" t="s">
        <v>18</v>
      </c>
      <c r="T1" s="1" t="s">
        <v>19</v>
      </c>
      <c r="U1" s="1" t="s">
        <v>20</v>
      </c>
      <c r="V1" t="s">
        <v>21</v>
      </c>
    </row>
    <row r="2" ht="33">
      <c r="A2" t="s">
        <v>22</v>
      </c>
      <c r="B2" s="2" t="s">
        <v>23</v>
      </c>
      <c r="C2" s="2" t="s">
        <v>129</v>
      </c>
      <c r="D2" t="s">
        <v>25</v>
      </c>
      <c r="E2">
        <v>22110</v>
      </c>
      <c r="F2" t="s">
        <v>26</v>
      </c>
      <c r="G2" s="1" t="s">
        <v>27</v>
      </c>
      <c r="H2" s="1" t="s">
        <v>28</v>
      </c>
      <c r="I2" s="1" t="s">
        <v>29</v>
      </c>
      <c r="J2" s="3">
        <v>30001450879251</v>
      </c>
      <c r="K2" s="3">
        <v>10</v>
      </c>
      <c r="L2" s="3">
        <v>1</v>
      </c>
      <c r="M2" t="s">
        <v>30</v>
      </c>
      <c r="N2" s="1" t="s">
        <v>31</v>
      </c>
      <c r="O2" t="s">
        <v>32</v>
      </c>
      <c r="P2" s="1">
        <v>1</v>
      </c>
      <c r="Q2" t="s">
        <v>33</v>
      </c>
      <c r="R2">
        <v>37</v>
      </c>
      <c r="S2" s="1">
        <f t="shared" ref="S2:S3" si="12">$R2</f>
        <v>37</v>
      </c>
      <c r="T2" s="1">
        <f t="shared" ref="T2:T3" si="13">$R2</f>
        <v>37</v>
      </c>
      <c r="U2" s="1">
        <f t="shared" ref="U2:U3" si="14">$R2</f>
        <v>37</v>
      </c>
      <c r="V2">
        <v>42</v>
      </c>
    </row>
    <row r="3" ht="33">
      <c r="A3" t="s">
        <v>34</v>
      </c>
      <c r="B3" s="2" t="s">
        <v>23</v>
      </c>
      <c r="C3" s="2" t="s">
        <v>129</v>
      </c>
      <c r="D3" t="s">
        <v>35</v>
      </c>
      <c r="E3">
        <v>22110</v>
      </c>
      <c r="F3" t="s">
        <v>26</v>
      </c>
      <c r="G3" s="1" t="s">
        <v>36</v>
      </c>
      <c r="H3" s="1" t="s">
        <v>37</v>
      </c>
      <c r="I3" t="s">
        <v>29</v>
      </c>
      <c r="J3" s="3">
        <v>30001451109890</v>
      </c>
      <c r="K3" s="3">
        <v>10</v>
      </c>
      <c r="L3" s="3">
        <v>1</v>
      </c>
      <c r="M3" t="s">
        <v>30</v>
      </c>
      <c r="N3" t="s">
        <v>31</v>
      </c>
      <c r="O3" t="s">
        <v>32</v>
      </c>
      <c r="P3" s="1">
        <v>1</v>
      </c>
      <c r="Q3" t="s">
        <v>33</v>
      </c>
      <c r="R3">
        <v>72</v>
      </c>
      <c r="S3" s="1">
        <f t="shared" si="12"/>
        <v>72</v>
      </c>
      <c r="T3" s="1">
        <f t="shared" si="13"/>
        <v>72</v>
      </c>
      <c r="U3" s="1">
        <f t="shared" si="14"/>
        <v>72</v>
      </c>
      <c r="V3">
        <v>72</v>
      </c>
    </row>
    <row r="4" ht="33">
      <c r="A4" t="s">
        <v>38</v>
      </c>
      <c r="B4" s="2" t="s">
        <v>23</v>
      </c>
      <c r="C4" s="2" t="s">
        <v>129</v>
      </c>
      <c r="D4" t="s">
        <v>39</v>
      </c>
      <c r="E4">
        <v>22110</v>
      </c>
      <c r="F4" t="s">
        <v>26</v>
      </c>
      <c r="G4" s="1" t="s">
        <v>40</v>
      </c>
      <c r="H4" s="1" t="s">
        <v>41</v>
      </c>
      <c r="I4" t="s">
        <v>29</v>
      </c>
      <c r="J4" s="3">
        <v>30001450601856</v>
      </c>
      <c r="K4" s="3">
        <v>10</v>
      </c>
      <c r="L4" s="3">
        <v>1</v>
      </c>
      <c r="M4" t="s">
        <v>30</v>
      </c>
      <c r="N4" s="1" t="s">
        <v>42</v>
      </c>
      <c r="O4" t="s">
        <v>43</v>
      </c>
      <c r="P4" s="1">
        <v>4</v>
      </c>
      <c r="Q4" t="s">
        <v>33</v>
      </c>
      <c r="R4">
        <v>78</v>
      </c>
      <c r="S4" s="1">
        <f>R4</f>
        <v>78</v>
      </c>
      <c r="T4">
        <f>S4</f>
        <v>78</v>
      </c>
      <c r="U4">
        <f>T4</f>
        <v>78</v>
      </c>
      <c r="V4">
        <v>78</v>
      </c>
    </row>
    <row r="5" ht="33">
      <c r="A5" t="s">
        <v>44</v>
      </c>
      <c r="B5" s="2" t="s">
        <v>23</v>
      </c>
      <c r="C5" s="2" t="s">
        <v>129</v>
      </c>
      <c r="D5" t="s">
        <v>45</v>
      </c>
      <c r="E5">
        <v>22110</v>
      </c>
      <c r="F5" t="s">
        <v>26</v>
      </c>
      <c r="G5" s="1" t="s">
        <v>46</v>
      </c>
      <c r="H5" s="1" t="s">
        <v>47</v>
      </c>
      <c r="I5" t="s">
        <v>29</v>
      </c>
      <c r="J5" s="3">
        <v>14581620753018</v>
      </c>
      <c r="K5" s="3">
        <v>10</v>
      </c>
      <c r="L5" s="3">
        <v>1</v>
      </c>
      <c r="M5" t="s">
        <v>48</v>
      </c>
      <c r="N5" t="s">
        <v>31</v>
      </c>
      <c r="O5" t="s">
        <v>32</v>
      </c>
      <c r="P5" s="1">
        <v>1</v>
      </c>
      <c r="Q5" t="s">
        <v>33</v>
      </c>
      <c r="R5">
        <v>18</v>
      </c>
      <c r="S5" s="1">
        <f t="shared" ref="S5:S9" si="15">$R5</f>
        <v>18</v>
      </c>
      <c r="T5" s="1">
        <f t="shared" ref="T5:T9" si="16">$R5</f>
        <v>18</v>
      </c>
      <c r="U5" s="1">
        <f t="shared" ref="U5:U9" si="17">$R5</f>
        <v>18</v>
      </c>
      <c r="V5">
        <v>36</v>
      </c>
    </row>
    <row r="6" ht="33">
      <c r="A6" t="s">
        <v>49</v>
      </c>
      <c r="B6" s="2" t="s">
        <v>23</v>
      </c>
      <c r="C6" s="2" t="s">
        <v>129</v>
      </c>
      <c r="D6" t="s">
        <v>50</v>
      </c>
      <c r="E6">
        <v>22110</v>
      </c>
      <c r="F6" t="s">
        <v>26</v>
      </c>
      <c r="G6" s="1" t="s">
        <v>51</v>
      </c>
      <c r="H6" s="1" t="s">
        <v>52</v>
      </c>
      <c r="I6" t="s">
        <v>29</v>
      </c>
      <c r="J6" s="3">
        <v>14597684492401</v>
      </c>
      <c r="K6" s="3">
        <v>10</v>
      </c>
      <c r="L6" s="3">
        <v>1</v>
      </c>
      <c r="M6" t="s">
        <v>48</v>
      </c>
      <c r="N6" t="s">
        <v>31</v>
      </c>
      <c r="O6" t="s">
        <v>32</v>
      </c>
      <c r="P6" s="1">
        <v>1</v>
      </c>
      <c r="Q6" t="s">
        <v>33</v>
      </c>
      <c r="R6">
        <v>36</v>
      </c>
      <c r="S6" s="1">
        <f t="shared" si="15"/>
        <v>36</v>
      </c>
      <c r="T6" s="1">
        <f t="shared" si="16"/>
        <v>36</v>
      </c>
      <c r="U6" s="1">
        <f t="shared" si="17"/>
        <v>36</v>
      </c>
      <c r="V6">
        <v>36</v>
      </c>
    </row>
    <row r="7" ht="33">
      <c r="A7" t="s">
        <v>53</v>
      </c>
      <c r="B7" s="2" t="s">
        <v>23</v>
      </c>
      <c r="C7" s="2" t="s">
        <v>129</v>
      </c>
      <c r="D7" t="s">
        <v>54</v>
      </c>
      <c r="E7">
        <v>22110</v>
      </c>
      <c r="F7" t="s">
        <v>26</v>
      </c>
      <c r="G7" s="1" t="s">
        <v>55</v>
      </c>
      <c r="H7" s="1" t="s">
        <v>56</v>
      </c>
      <c r="I7" t="s">
        <v>29</v>
      </c>
      <c r="J7" s="3">
        <v>50024096820332</v>
      </c>
      <c r="K7" s="3">
        <v>10</v>
      </c>
      <c r="L7" s="3">
        <v>1</v>
      </c>
      <c r="M7" t="s">
        <v>30</v>
      </c>
      <c r="N7" t="s">
        <v>31</v>
      </c>
      <c r="O7" t="s">
        <v>32</v>
      </c>
      <c r="P7" s="1">
        <v>1</v>
      </c>
      <c r="Q7" t="s">
        <v>57</v>
      </c>
      <c r="R7">
        <v>6</v>
      </c>
      <c r="S7" s="1">
        <f t="shared" si="15"/>
        <v>6</v>
      </c>
      <c r="T7" s="1">
        <f t="shared" si="16"/>
        <v>6</v>
      </c>
      <c r="U7" s="1">
        <f t="shared" si="17"/>
        <v>6</v>
      </c>
      <c r="V7">
        <v>36</v>
      </c>
    </row>
    <row r="8" ht="33">
      <c r="A8" s="1" t="s">
        <v>58</v>
      </c>
      <c r="B8" s="2" t="s">
        <v>23</v>
      </c>
      <c r="C8" s="2" t="s">
        <v>130</v>
      </c>
      <c r="D8" s="1" t="s">
        <v>59</v>
      </c>
      <c r="E8" s="1">
        <v>22480</v>
      </c>
      <c r="F8" s="1" t="s">
        <v>60</v>
      </c>
      <c r="G8" t="s">
        <v>61</v>
      </c>
      <c r="H8" s="1" t="s">
        <v>62</v>
      </c>
      <c r="I8" t="s">
        <v>29</v>
      </c>
      <c r="J8" s="3">
        <v>14505643960682</v>
      </c>
      <c r="K8" s="3">
        <v>10</v>
      </c>
      <c r="L8" s="3">
        <v>1</v>
      </c>
      <c r="M8" s="1" t="s">
        <v>48</v>
      </c>
      <c r="N8" t="s">
        <v>31</v>
      </c>
      <c r="O8" s="1" t="s">
        <v>32</v>
      </c>
      <c r="P8">
        <v>2</v>
      </c>
      <c r="Q8" s="1" t="s">
        <v>63</v>
      </c>
      <c r="R8" s="1">
        <v>18</v>
      </c>
      <c r="S8" s="1">
        <f t="shared" si="15"/>
        <v>18</v>
      </c>
      <c r="T8" s="1">
        <f t="shared" si="16"/>
        <v>18</v>
      </c>
      <c r="U8" s="1">
        <f t="shared" si="17"/>
        <v>18</v>
      </c>
      <c r="V8" s="1">
        <v>36</v>
      </c>
      <c r="W8" s="1"/>
      <c r="X8" s="1"/>
      <c r="Y8" s="1"/>
      <c r="Z8" s="1"/>
      <c r="AA8" s="1"/>
      <c r="AB8" s="1"/>
      <c r="AC8" s="1"/>
      <c r="AD8" s="1"/>
      <c r="AE8" s="1"/>
    </row>
    <row r="9" ht="33">
      <c r="A9" t="s">
        <v>64</v>
      </c>
      <c r="B9" s="2" t="s">
        <v>23</v>
      </c>
      <c r="C9" s="2" t="s">
        <v>130</v>
      </c>
      <c r="D9" t="s">
        <v>65</v>
      </c>
      <c r="E9">
        <v>22480</v>
      </c>
      <c r="F9" t="s">
        <v>60</v>
      </c>
      <c r="G9" s="1" t="s">
        <v>66</v>
      </c>
      <c r="H9" s="1" t="s">
        <v>67</v>
      </c>
      <c r="I9" t="s">
        <v>29</v>
      </c>
      <c r="J9" s="3">
        <v>14520549851252</v>
      </c>
      <c r="K9" s="3">
        <v>10</v>
      </c>
      <c r="L9" s="3">
        <v>1</v>
      </c>
      <c r="M9" t="s">
        <v>48</v>
      </c>
      <c r="N9" t="s">
        <v>31</v>
      </c>
      <c r="O9" t="s">
        <v>32</v>
      </c>
      <c r="P9" s="1">
        <v>1</v>
      </c>
      <c r="Q9" t="s">
        <v>33</v>
      </c>
      <c r="R9">
        <v>6</v>
      </c>
      <c r="S9" s="1">
        <f t="shared" si="15"/>
        <v>6</v>
      </c>
      <c r="T9" s="1">
        <f t="shared" si="16"/>
        <v>6</v>
      </c>
      <c r="U9" s="1">
        <f t="shared" si="17"/>
        <v>6</v>
      </c>
      <c r="V9">
        <v>36</v>
      </c>
    </row>
    <row r="10" ht="66">
      <c r="A10" t="s">
        <v>68</v>
      </c>
      <c r="B10" s="2" t="s">
        <v>23</v>
      </c>
      <c r="C10" s="2" t="s">
        <v>130</v>
      </c>
      <c r="D10" t="s">
        <v>69</v>
      </c>
      <c r="E10">
        <v>22480</v>
      </c>
      <c r="F10" t="s">
        <v>60</v>
      </c>
      <c r="G10" s="1" t="s">
        <v>70</v>
      </c>
      <c r="H10" s="1" t="s">
        <v>71</v>
      </c>
      <c r="I10" t="s">
        <v>29</v>
      </c>
      <c r="J10" s="3">
        <v>14570911638604</v>
      </c>
      <c r="K10" s="3">
        <v>10</v>
      </c>
      <c r="L10" s="3">
        <v>1</v>
      </c>
      <c r="M10" t="s">
        <v>48</v>
      </c>
      <c r="N10" t="s">
        <v>31</v>
      </c>
      <c r="O10" t="s">
        <v>32</v>
      </c>
      <c r="P10" s="1">
        <v>2</v>
      </c>
      <c r="Q10" t="s">
        <v>63</v>
      </c>
      <c r="R10">
        <v>36</v>
      </c>
      <c r="S10" s="1">
        <f t="shared" ref="S10:S17" si="18">$R10</f>
        <v>36</v>
      </c>
      <c r="T10" s="1">
        <f t="shared" ref="T10:T17" si="19">$R10</f>
        <v>36</v>
      </c>
      <c r="U10" s="1">
        <f t="shared" ref="U10:U17" si="20">$R10</f>
        <v>36</v>
      </c>
      <c r="V10">
        <v>36</v>
      </c>
    </row>
    <row r="11" ht="14.25">
      <c r="A11" t="s">
        <v>72</v>
      </c>
      <c r="B11" s="2" t="s">
        <v>23</v>
      </c>
      <c r="C11" s="2" t="s">
        <v>129</v>
      </c>
      <c r="D11" t="s">
        <v>73</v>
      </c>
      <c r="E11">
        <v>22110</v>
      </c>
      <c r="F11" t="s">
        <v>74</v>
      </c>
      <c r="G11" s="1" t="s">
        <v>75</v>
      </c>
      <c r="H11" s="1" t="s">
        <v>76</v>
      </c>
      <c r="I11" t="s">
        <v>29</v>
      </c>
      <c r="J11" s="3">
        <v>14533429732023</v>
      </c>
      <c r="K11" s="3">
        <v>10</v>
      </c>
      <c r="L11" s="3">
        <v>1</v>
      </c>
      <c r="M11" t="s">
        <v>48</v>
      </c>
      <c r="N11" t="s">
        <v>31</v>
      </c>
      <c r="O11" t="s">
        <v>32</v>
      </c>
      <c r="P11" s="1">
        <v>1</v>
      </c>
      <c r="Q11" t="s">
        <v>33</v>
      </c>
      <c r="R11">
        <v>18</v>
      </c>
      <c r="S11" s="1">
        <f t="shared" si="18"/>
        <v>18</v>
      </c>
      <c r="T11" s="1">
        <f t="shared" si="19"/>
        <v>18</v>
      </c>
      <c r="U11" s="1">
        <f t="shared" si="20"/>
        <v>18</v>
      </c>
      <c r="V11">
        <v>36</v>
      </c>
    </row>
    <row r="12" ht="14.25">
      <c r="A12" t="s">
        <v>77</v>
      </c>
      <c r="B12" s="2" t="s">
        <v>23</v>
      </c>
      <c r="C12" s="2" t="s">
        <v>129</v>
      </c>
      <c r="D12" t="s">
        <v>78</v>
      </c>
      <c r="E12">
        <v>22110</v>
      </c>
      <c r="F12" t="s">
        <v>74</v>
      </c>
      <c r="G12" s="1" t="s">
        <v>79</v>
      </c>
      <c r="H12" s="1" t="s">
        <v>80</v>
      </c>
      <c r="I12" t="s">
        <v>29</v>
      </c>
      <c r="J12" s="3">
        <v>14551808900995</v>
      </c>
      <c r="K12" s="3">
        <v>10</v>
      </c>
      <c r="L12" s="3">
        <v>1</v>
      </c>
      <c r="M12" t="s">
        <v>48</v>
      </c>
      <c r="N12" t="s">
        <v>31</v>
      </c>
      <c r="O12" t="s">
        <v>32</v>
      </c>
      <c r="P12" s="1">
        <v>1</v>
      </c>
      <c r="Q12" t="s">
        <v>33</v>
      </c>
      <c r="R12">
        <v>24</v>
      </c>
      <c r="S12" s="1">
        <f t="shared" si="18"/>
        <v>24</v>
      </c>
      <c r="T12" s="1">
        <f t="shared" si="19"/>
        <v>24</v>
      </c>
      <c r="U12" s="1">
        <f t="shared" si="20"/>
        <v>24</v>
      </c>
      <c r="V12">
        <v>36</v>
      </c>
    </row>
    <row r="13" ht="14.25">
      <c r="A13" t="s">
        <v>81</v>
      </c>
      <c r="B13" s="2" t="s">
        <v>23</v>
      </c>
      <c r="C13" s="2" t="s">
        <v>129</v>
      </c>
      <c r="D13" t="s">
        <v>82</v>
      </c>
      <c r="E13">
        <v>22340</v>
      </c>
      <c r="F13" t="s">
        <v>83</v>
      </c>
      <c r="G13" s="1" t="s">
        <v>84</v>
      </c>
      <c r="H13" s="1" t="s">
        <v>85</v>
      </c>
      <c r="I13" t="s">
        <v>29</v>
      </c>
      <c r="J13" s="3">
        <v>14574529662103</v>
      </c>
      <c r="K13" s="3">
        <v>10</v>
      </c>
      <c r="L13" s="3">
        <v>1</v>
      </c>
      <c r="M13" t="s">
        <v>48</v>
      </c>
      <c r="N13" t="s">
        <v>31</v>
      </c>
      <c r="O13" t="s">
        <v>32</v>
      </c>
      <c r="P13" s="1">
        <v>1</v>
      </c>
      <c r="Q13" t="s">
        <v>33</v>
      </c>
      <c r="R13">
        <v>12</v>
      </c>
      <c r="S13" s="1">
        <f t="shared" si="18"/>
        <v>12</v>
      </c>
      <c r="T13" s="1">
        <f t="shared" si="19"/>
        <v>12</v>
      </c>
      <c r="U13" s="1">
        <f t="shared" si="20"/>
        <v>12</v>
      </c>
      <c r="V13">
        <v>36</v>
      </c>
    </row>
    <row r="14" ht="14.25">
      <c r="A14" t="s">
        <v>86</v>
      </c>
      <c r="B14" s="2" t="s">
        <v>23</v>
      </c>
      <c r="C14" s="2" t="s">
        <v>130</v>
      </c>
      <c r="D14" t="s">
        <v>87</v>
      </c>
      <c r="E14">
        <v>22480</v>
      </c>
      <c r="F14" t="s">
        <v>88</v>
      </c>
      <c r="G14" s="1" t="s">
        <v>89</v>
      </c>
      <c r="H14" s="1" t="s">
        <v>90</v>
      </c>
      <c r="I14" t="s">
        <v>29</v>
      </c>
      <c r="J14" s="3">
        <v>14525180810824</v>
      </c>
      <c r="K14" s="3">
        <v>10</v>
      </c>
      <c r="L14" s="3">
        <v>1</v>
      </c>
      <c r="M14" t="s">
        <v>48</v>
      </c>
      <c r="N14" t="s">
        <v>31</v>
      </c>
      <c r="O14" t="s">
        <v>32</v>
      </c>
      <c r="P14" s="1">
        <v>1</v>
      </c>
      <c r="Q14" t="s">
        <v>33</v>
      </c>
      <c r="R14">
        <v>36</v>
      </c>
      <c r="S14" s="1">
        <f t="shared" si="18"/>
        <v>36</v>
      </c>
      <c r="T14" s="1">
        <f t="shared" si="19"/>
        <v>36</v>
      </c>
      <c r="U14" s="1">
        <f t="shared" si="20"/>
        <v>36</v>
      </c>
      <c r="V14">
        <v>36</v>
      </c>
    </row>
    <row r="15" ht="14.25">
      <c r="A15" t="s">
        <v>91</v>
      </c>
      <c r="B15" s="2" t="s">
        <v>23</v>
      </c>
      <c r="C15" s="2" t="s">
        <v>130</v>
      </c>
      <c r="D15" t="s">
        <v>92</v>
      </c>
      <c r="E15">
        <v>22110</v>
      </c>
      <c r="F15" t="s">
        <v>93</v>
      </c>
      <c r="G15" s="1" t="s">
        <v>94</v>
      </c>
      <c r="H15" s="1" t="s">
        <v>95</v>
      </c>
      <c r="I15" t="s">
        <v>96</v>
      </c>
      <c r="J15" s="3">
        <v>14583646839053</v>
      </c>
      <c r="K15" s="3">
        <v>10</v>
      </c>
      <c r="L15" s="3">
        <v>1</v>
      </c>
      <c r="M15" t="s">
        <v>48</v>
      </c>
      <c r="N15" t="s">
        <v>31</v>
      </c>
      <c r="O15" t="s">
        <v>32</v>
      </c>
      <c r="P15" s="1">
        <v>2</v>
      </c>
      <c r="Q15" t="s">
        <v>63</v>
      </c>
      <c r="R15">
        <v>18</v>
      </c>
      <c r="S15" s="1">
        <f t="shared" si="18"/>
        <v>18</v>
      </c>
      <c r="T15" s="1">
        <f t="shared" si="19"/>
        <v>18</v>
      </c>
      <c r="U15" s="1">
        <f t="shared" si="20"/>
        <v>18</v>
      </c>
      <c r="V15">
        <v>36</v>
      </c>
    </row>
    <row r="16" ht="14.25">
      <c r="A16" t="s">
        <v>97</v>
      </c>
      <c r="B16" s="2" t="s">
        <v>23</v>
      </c>
      <c r="C16" s="2" t="s">
        <v>130</v>
      </c>
      <c r="D16" t="s">
        <v>98</v>
      </c>
      <c r="E16">
        <v>22480</v>
      </c>
      <c r="F16" t="s">
        <v>99</v>
      </c>
      <c r="G16" s="1" t="s">
        <v>100</v>
      </c>
      <c r="H16" s="1" t="s">
        <v>101</v>
      </c>
      <c r="I16" t="s">
        <v>29</v>
      </c>
      <c r="J16" s="3">
        <v>14545586032026</v>
      </c>
      <c r="K16" s="3">
        <v>10</v>
      </c>
      <c r="L16" s="3">
        <v>1</v>
      </c>
      <c r="M16" t="s">
        <v>48</v>
      </c>
      <c r="N16" t="s">
        <v>31</v>
      </c>
      <c r="O16" t="s">
        <v>32</v>
      </c>
      <c r="P16" s="1">
        <v>1</v>
      </c>
      <c r="Q16" t="s">
        <v>33</v>
      </c>
      <c r="R16">
        <v>36</v>
      </c>
      <c r="S16" s="1">
        <f t="shared" si="18"/>
        <v>36</v>
      </c>
      <c r="T16" s="1">
        <f t="shared" si="19"/>
        <v>36</v>
      </c>
      <c r="U16" s="1">
        <f t="shared" si="20"/>
        <v>36</v>
      </c>
      <c r="V16">
        <v>36</v>
      </c>
    </row>
    <row r="17" ht="14.25">
      <c r="A17" t="s">
        <v>102</v>
      </c>
      <c r="B17" s="2" t="s">
        <v>23</v>
      </c>
      <c r="C17" s="2" t="s">
        <v>130</v>
      </c>
      <c r="D17" t="s">
        <v>98</v>
      </c>
      <c r="E17">
        <v>22480</v>
      </c>
      <c r="F17" t="s">
        <v>99</v>
      </c>
      <c r="G17" t="s">
        <v>100</v>
      </c>
      <c r="H17" t="s">
        <v>101</v>
      </c>
      <c r="I17" t="s">
        <v>29</v>
      </c>
      <c r="J17" s="3">
        <v>14545730749855</v>
      </c>
      <c r="K17" s="3">
        <v>10</v>
      </c>
      <c r="L17" s="3">
        <v>1</v>
      </c>
      <c r="M17" t="s">
        <v>48</v>
      </c>
      <c r="N17" t="s">
        <v>31</v>
      </c>
      <c r="O17" t="s">
        <v>32</v>
      </c>
      <c r="P17" s="1">
        <v>1</v>
      </c>
      <c r="Q17" t="s">
        <v>33</v>
      </c>
      <c r="R17">
        <v>12</v>
      </c>
      <c r="S17" s="1">
        <f t="shared" si="18"/>
        <v>12</v>
      </c>
      <c r="T17" s="1">
        <f t="shared" si="19"/>
        <v>12</v>
      </c>
      <c r="U17" s="1">
        <f t="shared" si="20"/>
        <v>12</v>
      </c>
      <c r="V17">
        <v>12</v>
      </c>
    </row>
    <row r="18" ht="14.25">
      <c r="A18" t="s">
        <v>103</v>
      </c>
      <c r="B18" s="2" t="s">
        <v>23</v>
      </c>
      <c r="C18" s="2" t="s">
        <v>129</v>
      </c>
      <c r="D18" t="s">
        <v>104</v>
      </c>
      <c r="E18">
        <v>22570</v>
      </c>
      <c r="F18" t="s">
        <v>105</v>
      </c>
      <c r="G18" s="1" t="s">
        <v>106</v>
      </c>
      <c r="H18" s="1" t="s">
        <v>107</v>
      </c>
      <c r="I18" t="s">
        <v>29</v>
      </c>
      <c r="J18" s="4" t="s">
        <v>108</v>
      </c>
      <c r="K18" s="3">
        <v>10</v>
      </c>
      <c r="L18" s="3">
        <v>1</v>
      </c>
      <c r="M18" t="s">
        <v>30</v>
      </c>
      <c r="N18" s="1" t="s">
        <v>109</v>
      </c>
      <c r="O18" t="s">
        <v>43</v>
      </c>
      <c r="P18" s="1">
        <v>4</v>
      </c>
      <c r="Q18" t="s">
        <v>33</v>
      </c>
      <c r="R18">
        <v>132</v>
      </c>
      <c r="S18" s="1">
        <f>R18</f>
        <v>132</v>
      </c>
      <c r="T18">
        <f>S18</f>
        <v>132</v>
      </c>
      <c r="U18">
        <f>T18</f>
        <v>132</v>
      </c>
      <c r="V18">
        <v>250</v>
      </c>
    </row>
    <row r="19" ht="14.25">
      <c r="A19" s="1" t="s">
        <v>110</v>
      </c>
      <c r="B19" s="2" t="s">
        <v>111</v>
      </c>
      <c r="C19" s="2"/>
      <c r="D19" s="5" t="s">
        <v>112</v>
      </c>
      <c r="E19" s="1">
        <v>22110</v>
      </c>
      <c r="F19" s="1" t="s">
        <v>26</v>
      </c>
      <c r="G19" s="1" t="s">
        <v>113</v>
      </c>
      <c r="H19" t="s">
        <v>114</v>
      </c>
      <c r="I19" t="s">
        <v>29</v>
      </c>
      <c r="J19" s="3">
        <v>14501012966710</v>
      </c>
      <c r="K19" s="3">
        <v>10</v>
      </c>
      <c r="L19" s="3">
        <v>1</v>
      </c>
      <c r="M19" s="1" t="s">
        <v>48</v>
      </c>
      <c r="N19" s="1" t="s">
        <v>115</v>
      </c>
      <c r="O19" s="1" t="s">
        <v>32</v>
      </c>
      <c r="P19">
        <v>1</v>
      </c>
      <c r="Q19" s="1" t="s">
        <v>33</v>
      </c>
      <c r="R19" s="1">
        <v>36</v>
      </c>
      <c r="S19">
        <f t="shared" ref="S19:S20" si="21">$R19</f>
        <v>36</v>
      </c>
      <c r="T19">
        <f t="shared" ref="T19:T20" si="22">$R19</f>
        <v>36</v>
      </c>
      <c r="U19">
        <f t="shared" ref="U19:U20" si="23">$R19</f>
        <v>36</v>
      </c>
      <c r="V19" s="1">
        <v>36</v>
      </c>
    </row>
    <row r="20" ht="14.25">
      <c r="A20" t="s">
        <v>116</v>
      </c>
      <c r="B20" s="2" t="s">
        <v>23</v>
      </c>
      <c r="C20" s="2" t="s">
        <v>129</v>
      </c>
      <c r="D20" t="s">
        <v>117</v>
      </c>
      <c r="E20">
        <v>22110</v>
      </c>
      <c r="F20" t="s">
        <v>26</v>
      </c>
      <c r="G20" s="1" t="s">
        <v>118</v>
      </c>
      <c r="H20" s="1" t="s">
        <v>119</v>
      </c>
      <c r="I20" t="s">
        <v>29</v>
      </c>
      <c r="J20" s="3">
        <v>50055068074923</v>
      </c>
      <c r="K20" s="3">
        <v>10</v>
      </c>
      <c r="L20" s="3">
        <v>1</v>
      </c>
      <c r="M20" t="s">
        <v>30</v>
      </c>
      <c r="N20" t="s">
        <v>31</v>
      </c>
      <c r="O20" t="s">
        <v>32</v>
      </c>
      <c r="P20" s="1">
        <v>1</v>
      </c>
      <c r="Q20" t="s">
        <v>33</v>
      </c>
      <c r="R20">
        <v>12</v>
      </c>
      <c r="S20" s="1">
        <f t="shared" si="21"/>
        <v>12</v>
      </c>
      <c r="T20" s="1">
        <f t="shared" si="22"/>
        <v>12</v>
      </c>
      <c r="U20" s="1">
        <f t="shared" si="23"/>
        <v>12</v>
      </c>
      <c r="V20">
        <v>36</v>
      </c>
    </row>
    <row r="21" ht="14.25">
      <c r="A21" s="1" t="s">
        <v>120</v>
      </c>
      <c r="B21" s="2" t="s">
        <v>23</v>
      </c>
      <c r="C21" s="2" t="s">
        <v>130</v>
      </c>
      <c r="D21" s="1" t="s">
        <v>121</v>
      </c>
      <c r="E21" s="1">
        <v>22480</v>
      </c>
      <c r="F21" s="1" t="s">
        <v>99</v>
      </c>
      <c r="G21" s="1" t="s">
        <v>122</v>
      </c>
      <c r="H21" s="1" t="s">
        <v>123</v>
      </c>
      <c r="I21" s="1" t="s">
        <v>29</v>
      </c>
      <c r="J21" s="3">
        <v>3</v>
      </c>
      <c r="K21" s="3">
        <v>1</v>
      </c>
      <c r="L21" s="3">
        <v>1</v>
      </c>
      <c r="M21" s="1" t="s">
        <v>30</v>
      </c>
      <c r="N21" s="1" t="s">
        <v>31</v>
      </c>
      <c r="O21" s="1" t="s">
        <v>43</v>
      </c>
      <c r="P21">
        <v>4</v>
      </c>
      <c r="Q21" s="1" t="s">
        <v>33</v>
      </c>
      <c r="R21" s="1">
        <v>900</v>
      </c>
      <c r="S21">
        <v>900</v>
      </c>
      <c r="T21">
        <v>900</v>
      </c>
      <c r="U21">
        <v>900</v>
      </c>
      <c r="V21" s="1">
        <v>1000</v>
      </c>
    </row>
    <row r="22" ht="14.25">
      <c r="A22" s="1" t="s">
        <v>124</v>
      </c>
      <c r="B22" s="2" t="s">
        <v>23</v>
      </c>
      <c r="C22" s="2" t="s">
        <v>129</v>
      </c>
      <c r="D22" s="1" t="s">
        <v>125</v>
      </c>
      <c r="E22" s="1">
        <v>22110</v>
      </c>
      <c r="F22" s="1" t="s">
        <v>26</v>
      </c>
      <c r="G22" s="1" t="s">
        <v>126</v>
      </c>
      <c r="H22" t="s">
        <v>127</v>
      </c>
      <c r="I22" t="s">
        <v>29</v>
      </c>
      <c r="J22" s="3">
        <v>1</v>
      </c>
      <c r="K22" s="3">
        <v>1</v>
      </c>
      <c r="L22" s="3">
        <v>1</v>
      </c>
      <c r="M22" s="1" t="s">
        <v>48</v>
      </c>
      <c r="N22" t="s">
        <v>31</v>
      </c>
      <c r="O22" s="1" t="s">
        <v>43</v>
      </c>
      <c r="P22" s="1">
        <v>4</v>
      </c>
      <c r="Q22" s="1" t="s">
        <v>33</v>
      </c>
      <c r="R22" s="1">
        <v>132</v>
      </c>
      <c r="S22" s="1">
        <v>132</v>
      </c>
      <c r="T22" s="1">
        <v>132</v>
      </c>
      <c r="U22" s="1">
        <v>132</v>
      </c>
      <c r="V22" s="1">
        <v>250</v>
      </c>
    </row>
    <row r="23" ht="14.25">
      <c r="A23" s="1" t="s">
        <v>131</v>
      </c>
      <c r="B23" s="2" t="s">
        <v>23</v>
      </c>
      <c r="C23" s="2" t="s">
        <v>129</v>
      </c>
      <c r="D23" s="1" t="s">
        <v>125</v>
      </c>
      <c r="E23" s="1" t="s">
        <v>125</v>
      </c>
      <c r="F23" s="1" t="s">
        <v>125</v>
      </c>
      <c r="G23" t="s">
        <v>126</v>
      </c>
      <c r="H23" s="2" t="s">
        <v>127</v>
      </c>
      <c r="I23" t="s">
        <v>29</v>
      </c>
      <c r="J23" s="3">
        <v>21</v>
      </c>
      <c r="K23" s="3">
        <v>9</v>
      </c>
      <c r="L23" s="3">
        <v>10</v>
      </c>
      <c r="M23" s="1" t="s">
        <v>48</v>
      </c>
      <c r="N23" t="s">
        <v>31</v>
      </c>
      <c r="O23" s="1" t="s">
        <v>32</v>
      </c>
      <c r="P23" s="1">
        <v>1</v>
      </c>
      <c r="Q23" s="1" t="s">
        <v>33</v>
      </c>
      <c r="R23" s="1">
        <v>6</v>
      </c>
      <c r="S23" s="1">
        <v>6</v>
      </c>
      <c r="T23" s="1">
        <v>6</v>
      </c>
      <c r="U23" s="1">
        <v>6</v>
      </c>
      <c r="V23" s="1">
        <v>6</v>
      </c>
    </row>
    <row r="24" ht="14.25">
      <c r="A24" s="1" t="s">
        <v>132</v>
      </c>
      <c r="B24" s="1" t="s">
        <v>23</v>
      </c>
      <c r="C24" t="s">
        <v>130</v>
      </c>
      <c r="D24" s="1" t="str">
        <f>D23</f>
        <v xml:space="preserve">à remplir</v>
      </c>
      <c r="E24" s="1" t="str">
        <f>E23</f>
        <v xml:space="preserve">à remplir</v>
      </c>
      <c r="F24" s="1" t="str">
        <f>F23</f>
        <v xml:space="preserve">à remplir</v>
      </c>
      <c r="G24" s="2" t="s">
        <v>61</v>
      </c>
      <c r="H24" s="1" t="s">
        <v>62</v>
      </c>
      <c r="I24" s="1" t="str">
        <f>I23</f>
        <v>ALEX</v>
      </c>
      <c r="J24" s="1">
        <v>22</v>
      </c>
      <c r="K24" s="1">
        <f>K23</f>
        <v>9</v>
      </c>
      <c r="L24" s="1">
        <f>L23</f>
        <v>10</v>
      </c>
      <c r="M24" s="1" t="str">
        <f>M23</f>
        <v>LNK</v>
      </c>
      <c r="N24" s="1" t="s">
        <v>31</v>
      </c>
      <c r="O24" s="1" t="str">
        <f>O23</f>
        <v>C5</v>
      </c>
      <c r="P24" s="1">
        <f>P23</f>
        <v>1</v>
      </c>
      <c r="Q24" s="1" t="str">
        <f>Q23</f>
        <v>CU</v>
      </c>
      <c r="R24" s="1">
        <f>R23</f>
        <v>6</v>
      </c>
      <c r="S24" s="1">
        <f>S23</f>
        <v>6</v>
      </c>
      <c r="T24" s="1">
        <f>T23</f>
        <v>6</v>
      </c>
      <c r="U24" s="1">
        <f>U23</f>
        <v>6</v>
      </c>
      <c r="V24" s="1">
        <f>V23</f>
        <v>6</v>
      </c>
    </row>
    <row r="25" ht="14.25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24.8515625"/>
    <col bestFit="1" min="2" max="2" width="19.421875"/>
    <col customWidth="1" min="3" max="3" width="27.140625"/>
    <col bestFit="1" min="4" max="4" width="20.28125"/>
    <col bestFit="1" min="5" max="5" width="19.57421875"/>
    <col bestFit="1" min="6" max="6" width="18.7109375"/>
    <col bestFit="1" min="7" max="7" width="16.57421875"/>
    <col bestFit="1" min="8" max="8" width="19.57421875"/>
    <col bestFit="1" min="9" max="9" width="12.421875"/>
    <col bestFit="1" min="10" max="11" width="29.57421875"/>
    <col bestFit="1" min="12" max="13" width="29.421875"/>
    <col bestFit="1" min="14" max="19" width="19.57421875"/>
  </cols>
  <sheetData>
    <row r="1" ht="49.5">
      <c r="A1" t="s">
        <v>0</v>
      </c>
      <c r="B1" s="1" t="s">
        <v>1</v>
      </c>
      <c r="C1" t="s">
        <v>3</v>
      </c>
      <c r="D1" t="s">
        <v>4</v>
      </c>
      <c r="E1" t="s">
        <v>5</v>
      </c>
      <c r="F1" t="s">
        <v>9</v>
      </c>
      <c r="G1" t="s">
        <v>12</v>
      </c>
      <c r="H1" t="s">
        <v>14</v>
      </c>
      <c r="I1" s="1" t="s">
        <v>15</v>
      </c>
      <c r="J1" t="s">
        <v>16</v>
      </c>
      <c r="K1" t="s">
        <v>17</v>
      </c>
      <c r="L1" s="1" t="s">
        <v>18</v>
      </c>
      <c r="M1" s="1" t="s">
        <v>19</v>
      </c>
      <c r="N1" s="1" t="s">
        <v>20</v>
      </c>
      <c r="O1" t="s">
        <v>21</v>
      </c>
    </row>
    <row r="2" ht="33">
      <c r="A2" t="s">
        <v>22</v>
      </c>
      <c r="B2" s="1" t="s">
        <v>23</v>
      </c>
      <c r="C2" t="s">
        <v>25</v>
      </c>
      <c r="D2">
        <v>22110</v>
      </c>
      <c r="E2" t="s">
        <v>26</v>
      </c>
      <c r="F2" s="3">
        <v>30001450879251</v>
      </c>
      <c r="G2" t="s">
        <v>30</v>
      </c>
      <c r="H2" t="s">
        <v>32</v>
      </c>
      <c r="I2" s="1">
        <v>1</v>
      </c>
      <c r="J2" t="s">
        <v>33</v>
      </c>
      <c r="K2">
        <v>37</v>
      </c>
      <c r="L2" s="1">
        <f t="shared" ref="L2:L3" si="24">$K2</f>
        <v>37</v>
      </c>
      <c r="M2" s="1">
        <f t="shared" ref="M2:M3" si="25">$K2</f>
        <v>37</v>
      </c>
      <c r="N2" s="1">
        <f t="shared" ref="N2:N3" si="26">$K2</f>
        <v>37</v>
      </c>
      <c r="O2">
        <v>42</v>
      </c>
    </row>
    <row r="3" ht="33">
      <c r="A3" t="s">
        <v>34</v>
      </c>
      <c r="B3" s="1" t="s">
        <v>23</v>
      </c>
      <c r="C3" t="s">
        <v>35</v>
      </c>
      <c r="D3">
        <v>22110</v>
      </c>
      <c r="E3" t="s">
        <v>26</v>
      </c>
      <c r="F3" s="3">
        <v>30001451109890</v>
      </c>
      <c r="G3" t="s">
        <v>30</v>
      </c>
      <c r="H3" t="s">
        <v>32</v>
      </c>
      <c r="I3" s="1">
        <v>1</v>
      </c>
      <c r="J3" t="s">
        <v>33</v>
      </c>
      <c r="K3">
        <v>72</v>
      </c>
      <c r="L3" s="1">
        <f t="shared" si="24"/>
        <v>72</v>
      </c>
      <c r="M3" s="1">
        <f t="shared" si="25"/>
        <v>72</v>
      </c>
      <c r="N3" s="1">
        <f t="shared" si="26"/>
        <v>72</v>
      </c>
      <c r="O3">
        <v>72</v>
      </c>
    </row>
    <row r="4" ht="33" hidden="1">
      <c r="A4" t="s">
        <v>38</v>
      </c>
      <c r="B4" t="s">
        <v>23</v>
      </c>
      <c r="C4" t="s">
        <v>39</v>
      </c>
      <c r="D4">
        <v>22110</v>
      </c>
      <c r="E4" t="s">
        <v>26</v>
      </c>
      <c r="F4" s="3">
        <v>30001450601856</v>
      </c>
      <c r="G4" t="s">
        <v>30</v>
      </c>
      <c r="H4" t="s">
        <v>43</v>
      </c>
      <c r="I4" s="1">
        <v>4</v>
      </c>
      <c r="J4" t="s">
        <v>33</v>
      </c>
      <c r="K4">
        <v>78</v>
      </c>
      <c r="L4" s="1">
        <f>K4</f>
        <v>78</v>
      </c>
      <c r="M4">
        <f>L4</f>
        <v>78</v>
      </c>
      <c r="N4">
        <f>M4</f>
        <v>78</v>
      </c>
      <c r="O4">
        <v>78</v>
      </c>
    </row>
    <row r="5" ht="33">
      <c r="A5" t="s">
        <v>44</v>
      </c>
      <c r="B5" t="s">
        <v>23</v>
      </c>
      <c r="C5" t="s">
        <v>45</v>
      </c>
      <c r="D5">
        <v>22110</v>
      </c>
      <c r="E5" t="s">
        <v>26</v>
      </c>
      <c r="F5" s="3">
        <v>14581620753018</v>
      </c>
      <c r="G5" t="s">
        <v>48</v>
      </c>
      <c r="H5" t="s">
        <v>32</v>
      </c>
      <c r="I5" s="1">
        <v>1</v>
      </c>
      <c r="J5" t="s">
        <v>33</v>
      </c>
      <c r="K5">
        <v>18</v>
      </c>
      <c r="L5" s="1">
        <f t="shared" ref="L5:L9" si="27">$K5</f>
        <v>18</v>
      </c>
      <c r="M5" s="1">
        <f t="shared" ref="M5:M9" si="28">$K5</f>
        <v>18</v>
      </c>
      <c r="N5" s="1">
        <f t="shared" ref="N5:N9" si="29">$K5</f>
        <v>18</v>
      </c>
      <c r="O5">
        <v>36</v>
      </c>
    </row>
    <row r="6" ht="33">
      <c r="A6" t="s">
        <v>49</v>
      </c>
      <c r="B6" t="s">
        <v>23</v>
      </c>
      <c r="C6" t="s">
        <v>50</v>
      </c>
      <c r="D6">
        <v>22110</v>
      </c>
      <c r="E6" t="s">
        <v>26</v>
      </c>
      <c r="F6" s="3">
        <v>14597684492401</v>
      </c>
      <c r="G6" t="s">
        <v>48</v>
      </c>
      <c r="H6" t="s">
        <v>32</v>
      </c>
      <c r="I6" s="1">
        <v>1</v>
      </c>
      <c r="J6" t="s">
        <v>33</v>
      </c>
      <c r="K6">
        <v>36</v>
      </c>
      <c r="L6" s="1">
        <f t="shared" si="27"/>
        <v>36</v>
      </c>
      <c r="M6" s="1">
        <f t="shared" si="28"/>
        <v>36</v>
      </c>
      <c r="N6" s="1">
        <f t="shared" si="29"/>
        <v>36</v>
      </c>
      <c r="O6">
        <v>36</v>
      </c>
    </row>
    <row r="7" ht="33">
      <c r="A7" t="s">
        <v>53</v>
      </c>
      <c r="B7" t="s">
        <v>111</v>
      </c>
      <c r="C7" t="s">
        <v>54</v>
      </c>
      <c r="D7">
        <v>22110</v>
      </c>
      <c r="E7" t="s">
        <v>26</v>
      </c>
      <c r="F7" s="3">
        <v>50024096820332</v>
      </c>
      <c r="G7" t="s">
        <v>30</v>
      </c>
      <c r="H7" t="s">
        <v>32</v>
      </c>
      <c r="I7" s="1">
        <v>1</v>
      </c>
      <c r="J7" t="s">
        <v>57</v>
      </c>
      <c r="K7">
        <v>6</v>
      </c>
      <c r="L7" s="1">
        <f t="shared" si="27"/>
        <v>6</v>
      </c>
      <c r="M7" s="1">
        <f t="shared" si="28"/>
        <v>6</v>
      </c>
      <c r="N7" s="1">
        <f t="shared" si="29"/>
        <v>6</v>
      </c>
      <c r="O7">
        <v>36</v>
      </c>
    </row>
    <row r="8" ht="33">
      <c r="A8" s="1" t="s">
        <v>58</v>
      </c>
      <c r="B8" t="s">
        <v>111</v>
      </c>
      <c r="C8" s="1" t="s">
        <v>59</v>
      </c>
      <c r="D8" s="1">
        <v>22480</v>
      </c>
      <c r="E8" s="1" t="s">
        <v>60</v>
      </c>
      <c r="F8" s="3">
        <v>14505643960682</v>
      </c>
      <c r="G8" s="1" t="s">
        <v>48</v>
      </c>
      <c r="H8" s="1" t="s">
        <v>32</v>
      </c>
      <c r="I8">
        <v>2</v>
      </c>
      <c r="J8" s="1" t="s">
        <v>63</v>
      </c>
      <c r="K8" s="1">
        <v>18</v>
      </c>
      <c r="L8" s="1">
        <f t="shared" si="27"/>
        <v>18</v>
      </c>
      <c r="M8" s="1">
        <f t="shared" si="28"/>
        <v>18</v>
      </c>
      <c r="N8" s="1">
        <f t="shared" si="29"/>
        <v>18</v>
      </c>
      <c r="O8" s="1">
        <v>36</v>
      </c>
      <c r="P8" s="1"/>
      <c r="Q8" s="1"/>
      <c r="R8" s="1"/>
      <c r="S8" s="1"/>
      <c r="T8" s="1"/>
      <c r="U8" s="1"/>
      <c r="V8" s="1"/>
      <c r="W8" s="1"/>
      <c r="X8" s="1"/>
    </row>
    <row r="9" ht="33">
      <c r="A9" t="s">
        <v>64</v>
      </c>
      <c r="B9" t="s">
        <v>111</v>
      </c>
      <c r="C9" t="s">
        <v>65</v>
      </c>
      <c r="D9">
        <v>22480</v>
      </c>
      <c r="E9" t="s">
        <v>60</v>
      </c>
      <c r="F9" s="3">
        <v>14520549851252</v>
      </c>
      <c r="G9" t="s">
        <v>48</v>
      </c>
      <c r="H9" t="s">
        <v>32</v>
      </c>
      <c r="I9" s="1">
        <v>2</v>
      </c>
      <c r="J9" t="s">
        <v>33</v>
      </c>
      <c r="K9">
        <v>6</v>
      </c>
      <c r="L9" s="1">
        <f t="shared" si="27"/>
        <v>6</v>
      </c>
      <c r="M9" s="1">
        <f t="shared" si="28"/>
        <v>6</v>
      </c>
      <c r="N9" s="1">
        <f t="shared" si="29"/>
        <v>6</v>
      </c>
      <c r="O9">
        <v>36</v>
      </c>
    </row>
    <row r="10" ht="66" hidden="1">
      <c r="A10" t="s">
        <v>68</v>
      </c>
      <c r="B10" t="s">
        <v>23</v>
      </c>
      <c r="C10" t="s">
        <v>69</v>
      </c>
      <c r="D10">
        <v>22480</v>
      </c>
      <c r="E10" t="s">
        <v>60</v>
      </c>
      <c r="F10" s="3">
        <v>14570911638604</v>
      </c>
      <c r="G10" t="s">
        <v>48</v>
      </c>
      <c r="H10" t="s">
        <v>32</v>
      </c>
      <c r="I10" s="1">
        <v>2</v>
      </c>
      <c r="J10" t="s">
        <v>63</v>
      </c>
      <c r="K10">
        <v>36</v>
      </c>
      <c r="L10" s="1">
        <f t="shared" ref="L10:L17" si="30">$K10</f>
        <v>36</v>
      </c>
      <c r="M10" s="1">
        <f t="shared" ref="M10:M17" si="31">$K10</f>
        <v>36</v>
      </c>
      <c r="N10" s="1">
        <f t="shared" ref="N10:N17" si="32">$K10</f>
        <v>36</v>
      </c>
      <c r="O10">
        <v>36</v>
      </c>
    </row>
    <row r="11" ht="14.25" hidden="1">
      <c r="A11" t="s">
        <v>72</v>
      </c>
      <c r="B11" t="s">
        <v>23</v>
      </c>
      <c r="C11" t="s">
        <v>73</v>
      </c>
      <c r="D11">
        <v>22110</v>
      </c>
      <c r="E11" t="s">
        <v>74</v>
      </c>
      <c r="F11" s="3">
        <v>14533429732023</v>
      </c>
      <c r="G11" t="s">
        <v>48</v>
      </c>
      <c r="H11" t="s">
        <v>32</v>
      </c>
      <c r="I11" s="1">
        <v>1</v>
      </c>
      <c r="J11" t="s">
        <v>33</v>
      </c>
      <c r="K11">
        <v>18</v>
      </c>
      <c r="L11" s="1">
        <f t="shared" si="30"/>
        <v>18</v>
      </c>
      <c r="M11" s="1">
        <f t="shared" si="31"/>
        <v>18</v>
      </c>
      <c r="N11" s="1">
        <f t="shared" si="32"/>
        <v>18</v>
      </c>
      <c r="O11">
        <v>36</v>
      </c>
    </row>
    <row r="12" ht="14.25">
      <c r="A12" t="s">
        <v>77</v>
      </c>
      <c r="B12" t="s">
        <v>23</v>
      </c>
      <c r="C12" t="s">
        <v>78</v>
      </c>
      <c r="D12">
        <v>22110</v>
      </c>
      <c r="E12" t="s">
        <v>74</v>
      </c>
      <c r="F12" s="3">
        <v>14551808900995</v>
      </c>
      <c r="G12" t="s">
        <v>48</v>
      </c>
      <c r="H12" t="s">
        <v>32</v>
      </c>
      <c r="I12" s="1">
        <v>2</v>
      </c>
      <c r="J12" t="s">
        <v>33</v>
      </c>
      <c r="K12">
        <v>24</v>
      </c>
      <c r="L12" s="1">
        <f t="shared" si="30"/>
        <v>24</v>
      </c>
      <c r="M12" s="1">
        <f t="shared" si="31"/>
        <v>24</v>
      </c>
      <c r="N12" s="1">
        <f t="shared" si="32"/>
        <v>24</v>
      </c>
      <c r="O12">
        <v>36</v>
      </c>
    </row>
    <row r="13" ht="14.25">
      <c r="A13" t="s">
        <v>81</v>
      </c>
      <c r="B13" t="s">
        <v>23</v>
      </c>
      <c r="C13" t="s">
        <v>82</v>
      </c>
      <c r="D13">
        <v>22340</v>
      </c>
      <c r="E13" t="s">
        <v>83</v>
      </c>
      <c r="F13" s="3">
        <v>14574529662103</v>
      </c>
      <c r="G13" t="s">
        <v>48</v>
      </c>
      <c r="H13" t="s">
        <v>32</v>
      </c>
      <c r="I13" s="1">
        <v>1</v>
      </c>
      <c r="J13" t="s">
        <v>33</v>
      </c>
      <c r="K13">
        <v>12</v>
      </c>
      <c r="L13" s="1">
        <f t="shared" si="30"/>
        <v>12</v>
      </c>
      <c r="M13" s="1">
        <f t="shared" si="31"/>
        <v>12</v>
      </c>
      <c r="N13" s="1">
        <f t="shared" si="32"/>
        <v>12</v>
      </c>
      <c r="O13">
        <v>36</v>
      </c>
    </row>
    <row r="14" ht="14.25">
      <c r="A14" t="s">
        <v>86</v>
      </c>
      <c r="B14" t="s">
        <v>111</v>
      </c>
      <c r="C14" t="s">
        <v>87</v>
      </c>
      <c r="D14">
        <v>22480</v>
      </c>
      <c r="E14" t="s">
        <v>88</v>
      </c>
      <c r="F14" s="3">
        <v>14525180810824</v>
      </c>
      <c r="G14" t="s">
        <v>48</v>
      </c>
      <c r="H14" t="s">
        <v>32</v>
      </c>
      <c r="I14" s="1">
        <v>2</v>
      </c>
      <c r="J14" t="s">
        <v>33</v>
      </c>
      <c r="K14">
        <v>36</v>
      </c>
      <c r="L14" s="1">
        <f t="shared" si="30"/>
        <v>36</v>
      </c>
      <c r="M14" s="1">
        <f t="shared" si="31"/>
        <v>36</v>
      </c>
      <c r="N14" s="1">
        <f t="shared" si="32"/>
        <v>36</v>
      </c>
      <c r="O14">
        <v>36</v>
      </c>
    </row>
    <row r="15" ht="14.25" hidden="1">
      <c r="A15" t="s">
        <v>91</v>
      </c>
      <c r="B15" t="s">
        <v>23</v>
      </c>
      <c r="C15" t="s">
        <v>92</v>
      </c>
      <c r="D15">
        <v>22110</v>
      </c>
      <c r="E15" t="s">
        <v>93</v>
      </c>
      <c r="F15" s="3">
        <v>14583646839053</v>
      </c>
      <c r="G15" t="s">
        <v>48</v>
      </c>
      <c r="H15" t="s">
        <v>32</v>
      </c>
      <c r="I15" s="1">
        <v>2</v>
      </c>
      <c r="J15" t="s">
        <v>63</v>
      </c>
      <c r="K15">
        <v>18</v>
      </c>
      <c r="L15" s="1">
        <f t="shared" si="30"/>
        <v>18</v>
      </c>
      <c r="M15" s="1">
        <f t="shared" si="31"/>
        <v>18</v>
      </c>
      <c r="N15" s="1">
        <f t="shared" si="32"/>
        <v>18</v>
      </c>
      <c r="O15">
        <v>36</v>
      </c>
    </row>
    <row r="16" ht="14.25">
      <c r="A16" t="s">
        <v>97</v>
      </c>
      <c r="B16" t="s">
        <v>23</v>
      </c>
      <c r="C16" t="s">
        <v>98</v>
      </c>
      <c r="D16">
        <v>22480</v>
      </c>
      <c r="E16" t="s">
        <v>99</v>
      </c>
      <c r="F16" s="3">
        <v>14545586032026</v>
      </c>
      <c r="G16" t="s">
        <v>48</v>
      </c>
      <c r="H16" t="s">
        <v>32</v>
      </c>
      <c r="I16" s="1">
        <v>1</v>
      </c>
      <c r="J16" t="s">
        <v>33</v>
      </c>
      <c r="K16">
        <v>36</v>
      </c>
      <c r="L16" s="1">
        <f t="shared" si="30"/>
        <v>36</v>
      </c>
      <c r="M16" s="1">
        <f t="shared" si="31"/>
        <v>36</v>
      </c>
      <c r="N16" s="1">
        <f t="shared" si="32"/>
        <v>36</v>
      </c>
      <c r="O16">
        <v>36</v>
      </c>
    </row>
    <row r="17" ht="14.25">
      <c r="A17" t="s">
        <v>102</v>
      </c>
      <c r="B17" t="s">
        <v>23</v>
      </c>
      <c r="C17" t="s">
        <v>98</v>
      </c>
      <c r="D17">
        <v>22480</v>
      </c>
      <c r="E17" t="s">
        <v>99</v>
      </c>
      <c r="F17" s="3">
        <v>14545730749855</v>
      </c>
      <c r="G17" t="s">
        <v>48</v>
      </c>
      <c r="H17" t="s">
        <v>32</v>
      </c>
      <c r="I17" s="1">
        <v>2</v>
      </c>
      <c r="J17" t="s">
        <v>33</v>
      </c>
      <c r="K17">
        <v>12</v>
      </c>
      <c r="L17" s="1">
        <f t="shared" si="30"/>
        <v>12</v>
      </c>
      <c r="M17" s="1">
        <f t="shared" si="31"/>
        <v>12</v>
      </c>
      <c r="N17" s="1">
        <f t="shared" si="32"/>
        <v>12</v>
      </c>
      <c r="O17">
        <v>12</v>
      </c>
    </row>
    <row r="18" ht="14.25" hidden="1">
      <c r="A18" t="s">
        <v>103</v>
      </c>
      <c r="B18" s="1" t="s">
        <v>23</v>
      </c>
      <c r="C18" t="s">
        <v>104</v>
      </c>
      <c r="D18">
        <v>22570</v>
      </c>
      <c r="E18" t="s">
        <v>105</v>
      </c>
      <c r="F18" s="3">
        <v>50073336860603</v>
      </c>
      <c r="G18" t="s">
        <v>30</v>
      </c>
      <c r="H18" t="s">
        <v>43</v>
      </c>
      <c r="I18" s="1">
        <v>4</v>
      </c>
      <c r="J18" t="s">
        <v>33</v>
      </c>
      <c r="K18">
        <v>132</v>
      </c>
      <c r="L18" s="1">
        <f>K18</f>
        <v>132</v>
      </c>
      <c r="M18">
        <f>L18</f>
        <v>132</v>
      </c>
      <c r="N18">
        <f>M18</f>
        <v>132</v>
      </c>
      <c r="O18">
        <v>250</v>
      </c>
    </row>
    <row r="19" ht="14.25" hidden="1">
      <c r="A19" s="1" t="s">
        <v>110</v>
      </c>
      <c r="B19" s="1" t="s">
        <v>23</v>
      </c>
      <c r="C19" s="5" t="s">
        <v>112</v>
      </c>
      <c r="D19" s="1">
        <v>22110</v>
      </c>
      <c r="E19" s="1" t="s">
        <v>26</v>
      </c>
      <c r="F19" s="3">
        <v>14501012966710</v>
      </c>
      <c r="G19" s="1" t="s">
        <v>48</v>
      </c>
      <c r="H19" s="1" t="s">
        <v>32</v>
      </c>
      <c r="I19">
        <v>2</v>
      </c>
      <c r="J19" s="1" t="s">
        <v>33</v>
      </c>
      <c r="K19" s="1">
        <v>36</v>
      </c>
      <c r="L19">
        <f t="shared" ref="L19:L20" si="33">$K19</f>
        <v>36</v>
      </c>
      <c r="M19">
        <f t="shared" ref="M19:M20" si="34">$K19</f>
        <v>36</v>
      </c>
      <c r="N19">
        <f t="shared" ref="N19:N20" si="35">$K19</f>
        <v>36</v>
      </c>
      <c r="O19" s="1">
        <v>36</v>
      </c>
    </row>
    <row r="20" ht="14.25">
      <c r="A20" t="s">
        <v>116</v>
      </c>
      <c r="B20" t="s">
        <v>23</v>
      </c>
      <c r="C20" t="s">
        <v>117</v>
      </c>
      <c r="D20">
        <v>22110</v>
      </c>
      <c r="E20" t="s">
        <v>26</v>
      </c>
      <c r="F20" s="3">
        <v>50055068074923</v>
      </c>
      <c r="G20" t="s">
        <v>30</v>
      </c>
      <c r="H20" t="s">
        <v>32</v>
      </c>
      <c r="I20" s="1">
        <v>1</v>
      </c>
      <c r="J20" t="s">
        <v>33</v>
      </c>
      <c r="K20">
        <v>12</v>
      </c>
      <c r="L20" s="1">
        <f t="shared" si="33"/>
        <v>12</v>
      </c>
      <c r="M20" s="1">
        <f t="shared" si="34"/>
        <v>12</v>
      </c>
      <c r="N20" s="1">
        <f t="shared" si="35"/>
        <v>12</v>
      </c>
      <c r="O20">
        <v>36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onlyoffice/7.4.1.36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Picouet</cp:lastModifiedBy>
  <cp:revision>50</cp:revision>
  <dcterms:modified xsi:type="dcterms:W3CDTF">2025-11-19T09:59:46Z</dcterms:modified>
</cp:coreProperties>
</file>