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euille1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tc={0F6CD9EA-55FA-EF30-EEF9-7F2F7170D60A}</author>
    <author>tc={94DF2CC4-6EC0-41C9-8DBD-F97F83AC9B1D}</author>
    <author>tc={BC9F3B87-222C-FD69-78FB-01E19C45F71E}</author>
    <author>tc={DE7619D0-EB13-F501-27FF-F24682561BFD}</author>
    <author>tc={57D288A4-8D9A-9D37-B6E9-A9006636C766}</author>
  </authors>
  <commentList>
    <comment ref="H11" authorId="0" xr:uid="{0F6CD9EA-55FA-EF30-EEF9-7F2F7170D60A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option ACC indisponible
</t>
        </r>
      </text>
    </comment>
    <comment ref="T12" authorId="1" xr:uid="{94DF2CC4-6EC0-41C9-8DBD-F97F83AC9B1D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prévoir coeff 0.93
</t>
        </r>
      </text>
    </comment>
    <comment ref="H16" authorId="2" xr:uid="{BC9F3B87-222C-FD69-78FB-01E19C45F71E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option ACC indisponible
</t>
        </r>
      </text>
    </comment>
    <comment ref="H9" authorId="3" xr:uid="{DE7619D0-EB13-F501-27FF-F24682561BFD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option ACC indisponible
</t>
        </r>
      </text>
    </comment>
    <comment ref="H10" authorId="4" xr:uid="{57D288A4-8D9A-9D37-B6E9-A9006636C766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option ACC indisponible
</t>
        </r>
      </text>
    </comment>
  </commentList>
</comments>
</file>

<file path=xl/sharedStrings.xml><?xml version="1.0" encoding="utf-8"?>
<sst xmlns="http://schemas.openxmlformats.org/spreadsheetml/2006/main" count="35" uniqueCount="35">
  <si>
    <t>nature</t>
  </si>
  <si>
    <t xml:space="preserve">puissance raccordement</t>
  </si>
  <si>
    <t>utilisation</t>
  </si>
  <si>
    <t xml:space="preserve">plages temporelles</t>
  </si>
  <si>
    <t>gestion</t>
  </si>
  <si>
    <t>comptage</t>
  </si>
  <si>
    <t>injection</t>
  </si>
  <si>
    <t xml:space="preserve">soutirage b-pointe</t>
  </si>
  <si>
    <t xml:space="preserve">soutirage b-HPH</t>
  </si>
  <si>
    <t xml:space="preserve">soutirage b-HCH</t>
  </si>
  <si>
    <t xml:space="preserve">soutirage b-HPB</t>
  </si>
  <si>
    <t xml:space="preserve">soutirage b-HCB</t>
  </si>
  <si>
    <t xml:space="preserve">soutirage c-al-HPH</t>
  </si>
  <si>
    <t xml:space="preserve">soutirage c-al-HCH</t>
  </si>
  <si>
    <t xml:space="preserve">soutirage c-al-HPB</t>
  </si>
  <si>
    <t xml:space="preserve">soutirage c-al-HCB</t>
  </si>
  <si>
    <t xml:space="preserve">soutirage c-au-HPH</t>
  </si>
  <si>
    <t xml:space="preserve">soutirage c-au-HCH</t>
  </si>
  <si>
    <t xml:space="preserve">soutirage c-au-HPB</t>
  </si>
  <si>
    <t xml:space="preserve">soutirage c-au-HCB</t>
  </si>
  <si>
    <t>cmdps</t>
  </si>
  <si>
    <t>consommateur</t>
  </si>
  <si>
    <t>C5</t>
  </si>
  <si>
    <t>CU</t>
  </si>
  <si>
    <t>LU</t>
  </si>
  <si>
    <t>MU</t>
  </si>
  <si>
    <t>C4</t>
  </si>
  <si>
    <t>C2</t>
  </si>
  <si>
    <t xml:space="preserve">CU pte fixe</t>
  </si>
  <si>
    <t xml:space="preserve">CU pte mobile</t>
  </si>
  <si>
    <t xml:space="preserve">LU pte fixe</t>
  </si>
  <si>
    <t xml:space="preserve">LU pte mobile</t>
  </si>
  <si>
    <t xml:space="preserve">autoconsommateur collectif</t>
  </si>
  <si>
    <t xml:space="preserve">autoproducteur collectif</t>
  </si>
  <si>
    <t xml:space="preserve">producteur collectif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</si>
</sst>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000"/>
  </numFmts>
  <fonts count="2">
    <font>
      <sz val="11.000000"/>
      <color theme="1"/>
      <name val="Calibri"/>
      <scheme val="minor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0">
    <xf fontId="0" fillId="0" borderId="0" numFmtId="0" xfId="0"/>
    <xf fontId="0" fillId="0" borderId="0" numFmtId="49" xfId="0" applyNumberFormat="1"/>
    <xf fontId="0" fillId="0" borderId="0" numFmtId="0" xfId="0"/>
    <xf fontId="1" fillId="0" borderId="0" numFmtId="160" xfId="0" applyNumberFormat="1" applyFont="1" applyAlignment="1">
      <alignment horizontal="left"/>
    </xf>
    <xf fontId="0" fillId="0" borderId="0" numFmtId="160" xfId="0" applyNumberFormat="1">
      <protection hidden="0" locked="1"/>
    </xf>
    <xf fontId="1" fillId="0" borderId="0" numFmtId="160" xfId="0" applyNumberFormat="1" applyFont="1" applyAlignment="1">
      <alignment horizontal="right"/>
    </xf>
    <xf fontId="0" fillId="0" borderId="0" numFmtId="160" xfId="1" applyNumberFormat="1" applyAlignment="1">
      <alignment horizontal="right"/>
      <protection hidden="0" locked="1"/>
    </xf>
    <xf fontId="0" fillId="0" borderId="0" numFmtId="160" xfId="1" applyNumberFormat="1" applyAlignment="1">
      <alignment horizontal="right"/>
    </xf>
    <xf fontId="0" fillId="0" borderId="0" numFmtId="0" xfId="0">
      <protection hidden="0" locked="1"/>
    </xf>
    <xf fontId="0" fillId="0" borderId="0" numFmtId="160" xfId="0" applyNumberFormat="1"/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omas Picouet" id="{D3ECE0A5-8B98-7807-2C09-4D7690B452EB}" userId="ocshf4yqqwbi_thomas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A$1:$U$36">
  <autoFilter ref="$A$1:$U$36"/>
  <tableColumns count="21">
    <tableColumn id="1" name="nature"/>
    <tableColumn id="2" name="puissance raccordement"/>
    <tableColumn id="3" name="utilisation"/>
    <tableColumn id="4" name="plages temporelles"/>
    <tableColumn id="5" name="gestion"/>
    <tableColumn id="6" name="comptage"/>
    <tableColumn id="7" name="injection"/>
    <tableColumn id="8" name="soutirage b-pointe"/>
    <tableColumn id="9" name="soutirage b-HPH"/>
    <tableColumn id="10" name="soutirage b-HCH"/>
    <tableColumn id="11" name="soutirage b-HPB"/>
    <tableColumn id="12" name="soutirage b-HCB"/>
    <tableColumn id="13" name="soutirage c-al-HPH"/>
    <tableColumn id="14" name="soutirage c-al-HCH"/>
    <tableColumn id="15" name="soutirage c-al-HPB"/>
    <tableColumn id="16" name="soutirage c-al-HCB"/>
    <tableColumn id="17" name="soutirage c-au-HPH"/>
    <tableColumn id="18" name="soutirage c-au-HCH"/>
    <tableColumn id="19" name="soutirage c-au-HPB"/>
    <tableColumn id="20" name="soutirage c-au-HCB"/>
    <tableColumn id="21" name="cmdps"/>
  </tableColumns>
  <tableStyleInfo name="TableStyleMedium1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5-08-11T14:32:18.65Z" personId="{D3ECE0A5-8B98-7807-2C09-4D7690B452EB}" id="{0F6CD9EA-55FA-EF30-EEF9-7F2F7170D60A}" done="0">
    <text xml:space="preserve">option ACC indisponible
</text>
  </threadedComment>
  <threadedComment ref="T12" dT="2025-07-11T10:29:31.02Z" personId="{D3ECE0A5-8B98-7807-2C09-4D7690B452EB}" id="{94DF2CC4-6EC0-41C9-8DBD-F97F83AC9B1D}" done="0">
    <text xml:space="preserve">prévoir coeff 0.93
</text>
  </threadedComment>
  <threadedComment ref="H16" dT="2025-08-11T14:30:57.69Z" personId="{D3ECE0A5-8B98-7807-2C09-4D7690B452EB}" id="{BC9F3B87-222C-FD69-78FB-01E19C45F71E}" done="0">
    <text xml:space="preserve">option ACC indisponible
</text>
  </threadedComment>
  <threadedComment ref="H9" dT="2025-08-11T14:30:57.69Z" personId="{D3ECE0A5-8B98-7807-2C09-4D7690B452EB}" id="{DE7619D0-EB13-F501-27FF-F24682561BFD}" done="0">
    <text xml:space="preserve">option ACC indisponible
</text>
  </threadedComment>
  <threadedComment ref="H10" dT="2025-08-11T14:32:14.79Z" personId="{D3ECE0A5-8B98-7807-2C09-4D7690B452EB}" id="{57D288A4-8D9A-9D37-B6E9-A9006636C766}" done="0">
    <text xml:space="preserve">option ACC indisponible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table" Target="../tables/table1.xml"/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4" ySplit="1" topLeftCell="E2" activePane="bottomRight" state="frozen"/>
      <selection activeCell="A1" activeCellId="0" sqref="A1"/>
    </sheetView>
  </sheetViews>
  <sheetFormatPr defaultRowHeight="14.25"/>
  <cols>
    <col bestFit="1" min="1" max="1" width="24.7109375"/>
    <col bestFit="1" min="2" max="2" width="20.00390625"/>
    <col bestFit="1" min="3" max="3" width="12.140625"/>
    <col bestFit="1" min="4" max="4" width="19.57421875"/>
    <col bestFit="1" min="5" max="5" width="9.57421875"/>
    <col bestFit="1" min="6" max="6" width="11.7109375"/>
    <col bestFit="1" min="7" max="7" width="10.8515625"/>
    <col bestFit="1" min="8" max="8" width="17.140625"/>
    <col bestFit="1" customWidth="1" min="9" max="9" width="17.140625"/>
    <col bestFit="1" min="10" max="11" width="17.00390625"/>
    <col bestFit="1" min="12" max="13" width="19.00390625"/>
    <col bestFit="1" min="14" max="15" width="18.8515625"/>
    <col bestFit="1" min="16" max="17" width="19.57421875"/>
    <col bestFit="1" min="18" max="19" width="19.421875"/>
  </cols>
  <sheetData>
    <row r="1" ht="14.25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4.25">
      <c r="A2" t="s">
        <v>21</v>
      </c>
      <c r="B2" t="s">
        <v>22</v>
      </c>
      <c r="C2" t="s">
        <v>23</v>
      </c>
      <c r="D2">
        <v>1</v>
      </c>
      <c r="E2" s="3">
        <v>16.800000000000001</v>
      </c>
      <c r="F2" s="4">
        <v>22</v>
      </c>
      <c r="G2" s="4">
        <v>0</v>
      </c>
      <c r="H2" s="4">
        <v>0</v>
      </c>
      <c r="I2" s="5">
        <v>11.07</v>
      </c>
      <c r="J2" s="5">
        <f t="shared" ref="J2:J6" si="0">$I2</f>
        <v>11.07</v>
      </c>
      <c r="K2" s="5">
        <f t="shared" ref="K2:K6" si="1">$I2</f>
        <v>11.07</v>
      </c>
      <c r="L2" s="5">
        <f t="shared" ref="L2:L6" si="2">$I2</f>
        <v>11.07</v>
      </c>
      <c r="M2" s="6">
        <v>0.048399999999999999</v>
      </c>
      <c r="N2" s="6">
        <f t="shared" ref="N2:N3" si="3">$M2</f>
        <v>0.048399999999999999</v>
      </c>
      <c r="O2" s="6">
        <f t="shared" ref="O2:O3" si="4">$M2</f>
        <v>0.048399999999999999</v>
      </c>
      <c r="P2" s="6">
        <f t="shared" ref="P2:P3" si="5">$M2</f>
        <v>0.048399999999999999</v>
      </c>
      <c r="Q2" s="7">
        <v>0</v>
      </c>
      <c r="R2" s="7">
        <v>0</v>
      </c>
      <c r="S2" s="7">
        <v>0</v>
      </c>
      <c r="T2" s="7">
        <v>0</v>
      </c>
      <c r="U2" s="6">
        <v>0</v>
      </c>
    </row>
    <row r="3" ht="14.25">
      <c r="A3" t="s">
        <v>21</v>
      </c>
      <c r="B3" t="s">
        <v>22</v>
      </c>
      <c r="C3" t="s">
        <v>24</v>
      </c>
      <c r="D3">
        <v>1</v>
      </c>
      <c r="E3" s="3">
        <v>16.800000000000001</v>
      </c>
      <c r="F3" s="4">
        <v>22</v>
      </c>
      <c r="G3" s="4">
        <v>0</v>
      </c>
      <c r="H3" s="4">
        <v>0</v>
      </c>
      <c r="I3" s="5">
        <v>93.129999999999995</v>
      </c>
      <c r="J3" s="5">
        <f t="shared" si="0"/>
        <v>93.129999999999995</v>
      </c>
      <c r="K3" s="5">
        <f t="shared" si="1"/>
        <v>93.129999999999995</v>
      </c>
      <c r="L3" s="5">
        <f t="shared" si="2"/>
        <v>93.129999999999995</v>
      </c>
      <c r="M3" s="6">
        <v>0.012500000000000001</v>
      </c>
      <c r="N3" s="6">
        <f t="shared" si="3"/>
        <v>0.012500000000000001</v>
      </c>
      <c r="O3" s="6">
        <f t="shared" si="4"/>
        <v>0.012500000000000001</v>
      </c>
      <c r="P3" s="6">
        <f t="shared" si="5"/>
        <v>0.012500000000000001</v>
      </c>
      <c r="Q3" s="7">
        <v>0</v>
      </c>
      <c r="R3" s="7">
        <v>0</v>
      </c>
      <c r="S3" s="7">
        <v>0</v>
      </c>
      <c r="T3" s="7">
        <v>0</v>
      </c>
      <c r="U3" s="6">
        <v>0</v>
      </c>
    </row>
    <row r="4" ht="14.25">
      <c r="A4" t="s">
        <v>21</v>
      </c>
      <c r="B4" t="s">
        <v>22</v>
      </c>
      <c r="C4" t="s">
        <v>25</v>
      </c>
      <c r="D4">
        <v>2</v>
      </c>
      <c r="E4" s="3">
        <v>16.800000000000001</v>
      </c>
      <c r="F4" s="4">
        <v>22</v>
      </c>
      <c r="G4" s="4">
        <v>0</v>
      </c>
      <c r="H4" s="4">
        <v>0</v>
      </c>
      <c r="I4" s="5">
        <v>13.49</v>
      </c>
      <c r="J4" s="5">
        <f t="shared" si="0"/>
        <v>13.49</v>
      </c>
      <c r="K4" s="5">
        <f t="shared" si="1"/>
        <v>13.49</v>
      </c>
      <c r="L4" s="5">
        <f t="shared" si="2"/>
        <v>13.49</v>
      </c>
      <c r="M4" s="6">
        <v>0.049399999999999999</v>
      </c>
      <c r="N4" s="6">
        <v>0.035000000000000003</v>
      </c>
      <c r="O4" s="6">
        <f>M4</f>
        <v>0.049399999999999999</v>
      </c>
      <c r="P4" s="6">
        <f>N4</f>
        <v>0.035000000000000003</v>
      </c>
      <c r="Q4" s="7">
        <v>0</v>
      </c>
      <c r="R4" s="7">
        <v>0</v>
      </c>
      <c r="S4" s="7">
        <v>0</v>
      </c>
      <c r="T4" s="7">
        <v>0</v>
      </c>
      <c r="U4" s="6">
        <v>0</v>
      </c>
    </row>
    <row r="5" ht="14.25">
      <c r="A5" t="s">
        <v>21</v>
      </c>
      <c r="B5" t="s">
        <v>22</v>
      </c>
      <c r="C5" s="2" t="s">
        <v>23</v>
      </c>
      <c r="D5" s="8">
        <v>4</v>
      </c>
      <c r="E5" s="3">
        <v>16.800000000000001</v>
      </c>
      <c r="F5" s="4">
        <v>22</v>
      </c>
      <c r="G5" s="4">
        <v>0</v>
      </c>
      <c r="H5" s="4">
        <v>0</v>
      </c>
      <c r="I5" s="5">
        <v>10.109999999999999</v>
      </c>
      <c r="J5" s="5">
        <f t="shared" si="0"/>
        <v>10.109999999999999</v>
      </c>
      <c r="K5" s="5">
        <f t="shared" si="1"/>
        <v>10.109999999999999</v>
      </c>
      <c r="L5" s="5">
        <f t="shared" si="2"/>
        <v>10.109999999999999</v>
      </c>
      <c r="M5" s="6">
        <v>0.074899999999999994</v>
      </c>
      <c r="N5" s="6">
        <v>0.039699999999999999</v>
      </c>
      <c r="O5" s="6">
        <v>0.0166</v>
      </c>
      <c r="P5" s="6">
        <v>0.011599999999999999</v>
      </c>
      <c r="Q5" s="7">
        <f t="shared" ref="Q5:Q8" si="6">M5</f>
        <v>0.074899999999999994</v>
      </c>
      <c r="R5" s="7">
        <f t="shared" ref="R5:R8" si="7">N5</f>
        <v>0.039699999999999999</v>
      </c>
      <c r="S5" s="7">
        <f t="shared" ref="S5:S8" si="8">O5</f>
        <v>0.0166</v>
      </c>
      <c r="T5" s="7">
        <f t="shared" ref="T5:T8" si="9">P5</f>
        <v>0.011599999999999999</v>
      </c>
      <c r="U5" s="6">
        <v>0</v>
      </c>
    </row>
    <row r="6" ht="14.25">
      <c r="A6" t="s">
        <v>21</v>
      </c>
      <c r="B6" t="s">
        <v>22</v>
      </c>
      <c r="C6" t="s">
        <v>25</v>
      </c>
      <c r="D6" s="8">
        <v>4</v>
      </c>
      <c r="E6" s="3">
        <v>16.800000000000001</v>
      </c>
      <c r="F6" s="4">
        <v>22</v>
      </c>
      <c r="G6" s="4">
        <v>0</v>
      </c>
      <c r="H6" s="4">
        <v>0</v>
      </c>
      <c r="I6" s="5">
        <v>12.119999999999999</v>
      </c>
      <c r="J6" s="5">
        <f t="shared" si="0"/>
        <v>12.119999999999999</v>
      </c>
      <c r="K6" s="5">
        <f t="shared" si="1"/>
        <v>12.119999999999999</v>
      </c>
      <c r="L6" s="5">
        <f t="shared" si="2"/>
        <v>12.119999999999999</v>
      </c>
      <c r="M6" s="6">
        <v>0.070000000000000007</v>
      </c>
      <c r="N6" s="6">
        <v>0.0373</v>
      </c>
      <c r="O6" s="6">
        <v>0.0161</v>
      </c>
      <c r="P6" s="6">
        <v>0.0111</v>
      </c>
      <c r="Q6" s="7">
        <f t="shared" si="6"/>
        <v>0.070000000000000007</v>
      </c>
      <c r="R6" s="7">
        <f t="shared" si="7"/>
        <v>0.0373</v>
      </c>
      <c r="S6" s="7">
        <f t="shared" si="8"/>
        <v>0.0161</v>
      </c>
      <c r="T6" s="7">
        <f t="shared" si="9"/>
        <v>0.0111</v>
      </c>
      <c r="U6" s="6">
        <v>0</v>
      </c>
    </row>
    <row r="7" ht="14.25">
      <c r="A7" s="8" t="s">
        <v>21</v>
      </c>
      <c r="B7" s="8" t="s">
        <v>26</v>
      </c>
      <c r="C7" t="s">
        <v>23</v>
      </c>
      <c r="D7">
        <v>4</v>
      </c>
      <c r="E7" s="3">
        <v>217.80000000000001</v>
      </c>
      <c r="F7" s="4">
        <v>283.26999999999998</v>
      </c>
      <c r="G7" s="9">
        <v>0</v>
      </c>
      <c r="H7" s="4">
        <v>0</v>
      </c>
      <c r="I7" s="5">
        <v>17.609999999999999</v>
      </c>
      <c r="J7" s="5">
        <v>15.960000000000001</v>
      </c>
      <c r="K7" s="7">
        <v>14.56</v>
      </c>
      <c r="L7" s="7">
        <v>11.98</v>
      </c>
      <c r="M7" s="6">
        <v>0.069099999999999995</v>
      </c>
      <c r="N7" s="6">
        <v>0.042099999999999999</v>
      </c>
      <c r="O7" s="7">
        <v>0.021299999999999999</v>
      </c>
      <c r="P7" s="7">
        <v>0.0152</v>
      </c>
      <c r="Q7" s="7">
        <f t="shared" si="6"/>
        <v>0.069099999999999995</v>
      </c>
      <c r="R7" s="7">
        <f t="shared" si="7"/>
        <v>0.042099999999999999</v>
      </c>
      <c r="S7" s="7">
        <f t="shared" si="8"/>
        <v>0.021299999999999999</v>
      </c>
      <c r="T7" s="7">
        <f t="shared" si="9"/>
        <v>0.0152</v>
      </c>
      <c r="U7" s="7">
        <v>12.65</v>
      </c>
    </row>
    <row r="8" ht="14.25">
      <c r="A8" t="s">
        <v>21</v>
      </c>
      <c r="B8" t="s">
        <v>26</v>
      </c>
      <c r="C8" t="s">
        <v>24</v>
      </c>
      <c r="D8" s="8">
        <v>4</v>
      </c>
      <c r="E8" s="3">
        <v>217.80000000000001</v>
      </c>
      <c r="F8" s="4">
        <v>283.26999999999998</v>
      </c>
      <c r="G8" s="9">
        <v>0</v>
      </c>
      <c r="H8" s="4">
        <v>0</v>
      </c>
      <c r="I8" s="5">
        <v>30.16</v>
      </c>
      <c r="J8" s="5">
        <v>21.18</v>
      </c>
      <c r="K8" s="7">
        <v>16.640000000000001</v>
      </c>
      <c r="L8" s="7">
        <v>12.369999999999999</v>
      </c>
      <c r="M8" s="6">
        <v>0.056899999999999999</v>
      </c>
      <c r="N8" s="6">
        <v>0.034700000000000002</v>
      </c>
      <c r="O8" s="7">
        <v>0.0201</v>
      </c>
      <c r="P8" s="7">
        <v>0.0149</v>
      </c>
      <c r="Q8" s="7">
        <f t="shared" si="6"/>
        <v>0.056899999999999999</v>
      </c>
      <c r="R8" s="7">
        <f t="shared" si="7"/>
        <v>0.034700000000000002</v>
      </c>
      <c r="S8" s="7">
        <f t="shared" si="8"/>
        <v>0.0201</v>
      </c>
      <c r="T8" s="7">
        <f t="shared" si="9"/>
        <v>0.0149</v>
      </c>
      <c r="U8" s="7">
        <v>12.65</v>
      </c>
    </row>
    <row r="9" ht="14.25">
      <c r="A9" s="8" t="s">
        <v>21</v>
      </c>
      <c r="B9" s="2" t="s">
        <v>27</v>
      </c>
      <c r="C9" s="2" t="s">
        <v>28</v>
      </c>
      <c r="D9" s="8">
        <v>4</v>
      </c>
      <c r="E9" s="3">
        <v>435.72000000000003</v>
      </c>
      <c r="F9" s="4">
        <v>376.38999999999999</v>
      </c>
      <c r="G9" s="9">
        <v>0</v>
      </c>
      <c r="H9" s="9">
        <v>14.41</v>
      </c>
      <c r="I9" s="5">
        <v>14.140000000000001</v>
      </c>
      <c r="J9" s="5">
        <v>14.41</v>
      </c>
      <c r="K9" s="7">
        <v>12.550000000000001</v>
      </c>
      <c r="L9" s="7">
        <v>11.220000000000001</v>
      </c>
      <c r="M9" s="6"/>
      <c r="N9" s="6"/>
      <c r="O9" s="7"/>
      <c r="P9" s="7"/>
      <c r="Q9" s="7"/>
      <c r="R9" s="7"/>
      <c r="S9" s="7"/>
      <c r="T9" s="7"/>
      <c r="U9" s="7"/>
    </row>
    <row r="10" ht="14.25">
      <c r="A10" s="8" t="s">
        <v>21</v>
      </c>
      <c r="B10" t="s">
        <v>27</v>
      </c>
      <c r="C10" s="2" t="s">
        <v>29</v>
      </c>
      <c r="D10" s="8">
        <v>4</v>
      </c>
      <c r="E10" s="3">
        <v>435.72000000000003</v>
      </c>
      <c r="F10" s="4">
        <v>376.38999999999999</v>
      </c>
      <c r="G10" s="9">
        <v>0</v>
      </c>
      <c r="H10" s="9">
        <v>14.41</v>
      </c>
      <c r="I10" s="5">
        <v>14.140000000000001</v>
      </c>
      <c r="J10" s="5">
        <v>14.41</v>
      </c>
      <c r="K10" s="7">
        <v>12.550000000000001</v>
      </c>
      <c r="L10" s="7">
        <v>11.220000000000001</v>
      </c>
      <c r="M10" s="6"/>
      <c r="N10" s="6"/>
      <c r="O10" s="7"/>
      <c r="P10" s="7"/>
      <c r="Q10" s="7"/>
      <c r="R10" s="7"/>
      <c r="S10" s="7"/>
      <c r="T10" s="7"/>
      <c r="U10" s="7"/>
    </row>
    <row r="11" ht="14.25">
      <c r="A11" s="8" t="s">
        <v>21</v>
      </c>
      <c r="B11" t="s">
        <v>27</v>
      </c>
      <c r="C11" s="2" t="s">
        <v>30</v>
      </c>
      <c r="D11" s="8">
        <v>4</v>
      </c>
      <c r="E11" s="3">
        <v>435.72000000000003</v>
      </c>
      <c r="F11" s="4">
        <v>376.38999999999999</v>
      </c>
      <c r="G11" s="9">
        <v>0</v>
      </c>
      <c r="H11" s="9">
        <v>35.329999999999998</v>
      </c>
      <c r="I11" s="5">
        <v>32.299999999999997</v>
      </c>
      <c r="J11" s="7">
        <v>20.390000000000001</v>
      </c>
      <c r="K11" s="7">
        <v>14.33</v>
      </c>
      <c r="L11">
        <v>11.56</v>
      </c>
      <c r="M11" s="6"/>
      <c r="N11" s="6"/>
      <c r="O11" s="7"/>
      <c r="P11" s="7"/>
      <c r="Q11" s="7"/>
      <c r="R11" s="7"/>
      <c r="S11" s="7"/>
      <c r="T11" s="7"/>
      <c r="U11" s="7"/>
    </row>
    <row r="12" ht="14.25">
      <c r="A12" s="8" t="s">
        <v>21</v>
      </c>
      <c r="B12" t="s">
        <v>27</v>
      </c>
      <c r="C12" s="2" t="s">
        <v>31</v>
      </c>
      <c r="D12" s="8">
        <v>4</v>
      </c>
      <c r="E12" s="3">
        <v>435.72000000000003</v>
      </c>
      <c r="F12" s="4">
        <v>376.38999999999999</v>
      </c>
      <c r="G12" s="9">
        <v>0</v>
      </c>
      <c r="H12" s="9">
        <v>38.270000000000003</v>
      </c>
      <c r="I12" s="5">
        <v>34.299999999999997</v>
      </c>
      <c r="J12" s="7">
        <v>20.390000000000001</v>
      </c>
      <c r="K12" s="7">
        <v>14.33</v>
      </c>
      <c r="L12" s="8">
        <v>11.56</v>
      </c>
      <c r="M12" s="6"/>
      <c r="N12" s="6"/>
      <c r="O12" s="7"/>
      <c r="P12" s="7"/>
      <c r="Q12" s="7"/>
      <c r="R12" s="7"/>
      <c r="S12" s="7"/>
      <c r="T12" s="7"/>
      <c r="U12" s="7"/>
    </row>
    <row r="13" ht="14.25">
      <c r="A13" s="2" t="s">
        <v>32</v>
      </c>
      <c r="B13" s="2" t="s">
        <v>22</v>
      </c>
      <c r="C13" s="2" t="s">
        <v>23</v>
      </c>
      <c r="D13" s="2">
        <v>1</v>
      </c>
      <c r="E13" s="3">
        <v>21.27</v>
      </c>
      <c r="F13" s="4">
        <v>22</v>
      </c>
      <c r="G13" s="9">
        <v>0</v>
      </c>
      <c r="H13" s="4">
        <v>0</v>
      </c>
      <c r="I13" s="5">
        <v>11.07</v>
      </c>
      <c r="J13" s="5">
        <f t="shared" ref="J13:J27" si="10">$I13</f>
        <v>11.07</v>
      </c>
      <c r="K13" s="5">
        <f t="shared" ref="K13:K27" si="11">$I13</f>
        <v>11.07</v>
      </c>
      <c r="L13" s="5">
        <f t="shared" ref="L13:L27" si="12">$I13</f>
        <v>11.07</v>
      </c>
      <c r="M13" s="6">
        <f t="shared" ref="M13:M15" si="13">M2</f>
        <v>0.048399999999999999</v>
      </c>
      <c r="N13" s="6">
        <f t="shared" ref="N13:N14" si="14">$M13</f>
        <v>0.048399999999999999</v>
      </c>
      <c r="O13" s="6">
        <f t="shared" ref="O13:O14" si="15">$M13</f>
        <v>0.048399999999999999</v>
      </c>
      <c r="P13" s="6">
        <f t="shared" ref="P13:P14" si="16">$M13</f>
        <v>0.048399999999999999</v>
      </c>
      <c r="Q13" s="7">
        <v>0</v>
      </c>
      <c r="R13" s="7">
        <v>0</v>
      </c>
      <c r="S13" s="7">
        <v>0</v>
      </c>
      <c r="T13" s="7">
        <v>0</v>
      </c>
      <c r="U13" s="6">
        <v>0</v>
      </c>
    </row>
    <row r="14" ht="14.25">
      <c r="A14" s="2" t="s">
        <v>32</v>
      </c>
      <c r="B14" s="2" t="s">
        <v>22</v>
      </c>
      <c r="C14" s="2" t="s">
        <v>24</v>
      </c>
      <c r="D14" s="2">
        <v>1</v>
      </c>
      <c r="E14" s="3">
        <v>21.27</v>
      </c>
      <c r="F14" s="4">
        <v>22</v>
      </c>
      <c r="G14" s="9">
        <v>0</v>
      </c>
      <c r="H14" s="4">
        <v>0</v>
      </c>
      <c r="I14" s="5">
        <v>93.129999999999995</v>
      </c>
      <c r="J14" s="5">
        <f t="shared" si="10"/>
        <v>93.129999999999995</v>
      </c>
      <c r="K14" s="5">
        <f t="shared" si="11"/>
        <v>93.129999999999995</v>
      </c>
      <c r="L14" s="5">
        <f t="shared" si="12"/>
        <v>93.129999999999995</v>
      </c>
      <c r="M14" s="6">
        <f t="shared" si="13"/>
        <v>0.012500000000000001</v>
      </c>
      <c r="N14" s="6">
        <f t="shared" si="14"/>
        <v>0.012500000000000001</v>
      </c>
      <c r="O14" s="6">
        <f t="shared" si="15"/>
        <v>0.012500000000000001</v>
      </c>
      <c r="P14" s="6">
        <f t="shared" si="16"/>
        <v>0.012500000000000001</v>
      </c>
      <c r="Q14" s="7">
        <v>0</v>
      </c>
      <c r="R14" s="7">
        <v>0</v>
      </c>
      <c r="S14" s="7">
        <v>0</v>
      </c>
      <c r="T14" s="7">
        <v>0</v>
      </c>
      <c r="U14" s="6">
        <v>0</v>
      </c>
    </row>
    <row r="15" ht="14.25">
      <c r="A15" s="2" t="s">
        <v>32</v>
      </c>
      <c r="B15" s="2" t="s">
        <v>22</v>
      </c>
      <c r="C15" s="2" t="s">
        <v>25</v>
      </c>
      <c r="D15" s="2">
        <v>2</v>
      </c>
      <c r="E15" s="3">
        <v>21.27</v>
      </c>
      <c r="F15" s="4">
        <v>22</v>
      </c>
      <c r="G15" s="9">
        <v>0</v>
      </c>
      <c r="H15" s="4">
        <v>0</v>
      </c>
      <c r="I15" s="5">
        <v>13.49</v>
      </c>
      <c r="J15" s="5">
        <f t="shared" si="10"/>
        <v>13.49</v>
      </c>
      <c r="K15" s="5">
        <f t="shared" si="11"/>
        <v>13.49</v>
      </c>
      <c r="L15" s="5">
        <f t="shared" si="12"/>
        <v>13.49</v>
      </c>
      <c r="M15" s="6">
        <f t="shared" si="13"/>
        <v>0.049399999999999999</v>
      </c>
      <c r="N15" s="6">
        <f>N4</f>
        <v>0.035000000000000003</v>
      </c>
      <c r="O15" s="6">
        <f>M15</f>
        <v>0.049399999999999999</v>
      </c>
      <c r="P15" s="6">
        <f>N15</f>
        <v>0.035000000000000003</v>
      </c>
      <c r="Q15" s="7">
        <v>0</v>
      </c>
      <c r="R15" s="7">
        <v>0</v>
      </c>
      <c r="S15" s="7">
        <v>0</v>
      </c>
      <c r="T15" s="7">
        <v>0</v>
      </c>
      <c r="U15" s="6">
        <v>0</v>
      </c>
    </row>
    <row r="16" ht="14.25">
      <c r="A16" t="s">
        <v>32</v>
      </c>
      <c r="B16" t="s">
        <v>26</v>
      </c>
      <c r="C16" s="2" t="s">
        <v>23</v>
      </c>
      <c r="D16" s="2">
        <v>4</v>
      </c>
      <c r="E16" s="3">
        <v>282.12</v>
      </c>
      <c r="F16" s="4">
        <v>283.26999999999998</v>
      </c>
      <c r="G16" s="9">
        <v>0</v>
      </c>
      <c r="H16" s="4">
        <v>0</v>
      </c>
      <c r="I16" s="5">
        <v>17.609999999999999</v>
      </c>
      <c r="J16" s="5">
        <v>15.960000000000001</v>
      </c>
      <c r="K16" s="7">
        <v>14.56</v>
      </c>
      <c r="L16" s="7">
        <v>11.98</v>
      </c>
      <c r="M16" s="6">
        <v>0.069400000000000003</v>
      </c>
      <c r="N16" s="6">
        <v>0.042500000000000003</v>
      </c>
      <c r="O16" s="7">
        <v>0.021899999999999999</v>
      </c>
      <c r="P16" s="7">
        <v>0.0155</v>
      </c>
      <c r="Q16" s="7">
        <v>0.025499999999999998</v>
      </c>
      <c r="R16" s="7">
        <v>0.0141</v>
      </c>
      <c r="S16" s="7">
        <v>0.010699999999999999</v>
      </c>
      <c r="T16" s="7">
        <v>0.0070000000000000001</v>
      </c>
      <c r="U16" s="7">
        <v>12.65</v>
      </c>
    </row>
    <row r="17" ht="14.25">
      <c r="A17" s="2" t="s">
        <v>32</v>
      </c>
      <c r="B17" s="2" t="s">
        <v>26</v>
      </c>
      <c r="C17" s="2" t="s">
        <v>24</v>
      </c>
      <c r="D17">
        <v>4</v>
      </c>
      <c r="E17" s="3">
        <v>282.12</v>
      </c>
      <c r="F17" s="4">
        <v>283.26999999999998</v>
      </c>
      <c r="G17" s="9">
        <v>0</v>
      </c>
      <c r="H17" s="4">
        <v>0</v>
      </c>
      <c r="I17" s="5">
        <v>30.16</v>
      </c>
      <c r="J17" s="5">
        <v>21.18</v>
      </c>
      <c r="K17" s="7">
        <v>16.640000000000001</v>
      </c>
      <c r="L17" s="7">
        <v>12.369999999999999</v>
      </c>
      <c r="M17" s="6">
        <v>0.057599999999999998</v>
      </c>
      <c r="N17" s="6">
        <v>0.035000000000000003</v>
      </c>
      <c r="O17" s="7">
        <v>0.0206</v>
      </c>
      <c r="P17" s="7">
        <v>0.0154</v>
      </c>
      <c r="Q17" s="7">
        <v>0.0223</v>
      </c>
      <c r="R17" s="7">
        <v>0.012999999999999999</v>
      </c>
      <c r="S17" s="7">
        <v>0.0101</v>
      </c>
      <c r="T17" s="7">
        <v>0.0068999999999999999</v>
      </c>
      <c r="U17" s="7">
        <v>12.65</v>
      </c>
    </row>
    <row r="18" ht="14.25">
      <c r="A18" t="s">
        <v>32</v>
      </c>
      <c r="B18" t="s">
        <v>22</v>
      </c>
      <c r="C18" t="s">
        <v>23</v>
      </c>
      <c r="D18">
        <v>4</v>
      </c>
      <c r="E18" s="3">
        <v>21.27</v>
      </c>
      <c r="F18" s="4">
        <v>22</v>
      </c>
      <c r="G18" s="9">
        <v>0</v>
      </c>
      <c r="H18" s="4">
        <v>0</v>
      </c>
      <c r="I18" s="5">
        <v>10.109999999999999</v>
      </c>
      <c r="J18" s="5">
        <f t="shared" si="10"/>
        <v>10.109999999999999</v>
      </c>
      <c r="K18" s="5">
        <f t="shared" si="11"/>
        <v>10.109999999999999</v>
      </c>
      <c r="L18" s="5">
        <f t="shared" si="12"/>
        <v>10.109999999999999</v>
      </c>
      <c r="M18" s="6">
        <v>0.075200000000000003</v>
      </c>
      <c r="N18" s="6">
        <v>0.040300000000000002</v>
      </c>
      <c r="O18" s="6">
        <v>0.017299999999999999</v>
      </c>
      <c r="P18" s="6">
        <v>0.0121</v>
      </c>
      <c r="Q18" s="7">
        <v>0.0286</v>
      </c>
      <c r="R18" s="7">
        <v>0.012800000000000001</v>
      </c>
      <c r="S18" s="7">
        <v>0.0076</v>
      </c>
      <c r="T18" s="7">
        <v>0.0048999999999999998</v>
      </c>
      <c r="U18" s="6">
        <v>0</v>
      </c>
    </row>
    <row r="19" ht="14.25">
      <c r="A19" t="s">
        <v>32</v>
      </c>
      <c r="B19" t="s">
        <v>22</v>
      </c>
      <c r="C19" t="s">
        <v>25</v>
      </c>
      <c r="D19">
        <v>4</v>
      </c>
      <c r="E19" s="3">
        <v>21.27</v>
      </c>
      <c r="F19" s="4">
        <v>22</v>
      </c>
      <c r="G19" s="9">
        <v>0</v>
      </c>
      <c r="H19" s="4">
        <v>0</v>
      </c>
      <c r="I19" s="5">
        <v>12.119999999999999</v>
      </c>
      <c r="J19" s="5">
        <f t="shared" si="10"/>
        <v>12.119999999999999</v>
      </c>
      <c r="K19" s="5">
        <f t="shared" si="11"/>
        <v>12.119999999999999</v>
      </c>
      <c r="L19" s="5">
        <f t="shared" si="12"/>
        <v>12.119999999999999</v>
      </c>
      <c r="M19" s="6">
        <v>0.070400000000000004</v>
      </c>
      <c r="N19" s="6">
        <f>0.0376</f>
        <v>0.037600000000000001</v>
      </c>
      <c r="O19" s="6">
        <v>0.0161</v>
      </c>
      <c r="P19" s="6">
        <v>0.0115</v>
      </c>
      <c r="Q19" s="7">
        <v>0.025999999999999999</v>
      </c>
      <c r="R19" s="7">
        <v>0.0123</v>
      </c>
      <c r="S19" s="7">
        <v>0.0074999999999999997</v>
      </c>
      <c r="T19" s="7">
        <v>0.0048999999999999998</v>
      </c>
      <c r="U19" s="6">
        <v>0</v>
      </c>
    </row>
    <row r="20" ht="14.25">
      <c r="A20" s="8" t="s">
        <v>32</v>
      </c>
      <c r="B20" t="s">
        <v>27</v>
      </c>
      <c r="C20" t="s">
        <v>28</v>
      </c>
      <c r="D20" s="8">
        <v>4</v>
      </c>
      <c r="E20" s="3">
        <v>564.24000000000001</v>
      </c>
      <c r="F20" s="4">
        <v>376.38999999999999</v>
      </c>
      <c r="G20" s="9">
        <v>0</v>
      </c>
      <c r="H20" s="9">
        <v>14.41</v>
      </c>
      <c r="I20" s="5">
        <v>14.140000000000001</v>
      </c>
      <c r="J20" s="5">
        <v>14.41</v>
      </c>
      <c r="K20" s="7">
        <v>12.550000000000001</v>
      </c>
      <c r="L20" s="7">
        <v>11.220000000000001</v>
      </c>
      <c r="M20" s="6"/>
      <c r="N20" s="6"/>
      <c r="O20" s="6"/>
      <c r="P20" s="6"/>
      <c r="Q20" s="7"/>
      <c r="R20" s="7"/>
      <c r="S20" s="7"/>
      <c r="T20" s="7"/>
      <c r="U20" s="6"/>
    </row>
    <row r="21" ht="14.25">
      <c r="A21" s="8" t="s">
        <v>32</v>
      </c>
      <c r="B21" s="8" t="s">
        <v>27</v>
      </c>
      <c r="C21" t="s">
        <v>29</v>
      </c>
      <c r="D21" s="8">
        <v>4</v>
      </c>
      <c r="E21" s="3">
        <v>564.24000000000001</v>
      </c>
      <c r="F21" s="4">
        <v>376.38999999999999</v>
      </c>
      <c r="G21" s="9">
        <v>0</v>
      </c>
      <c r="H21" s="9">
        <v>14.41</v>
      </c>
      <c r="I21" s="5">
        <v>14.140000000000001</v>
      </c>
      <c r="J21" s="5">
        <v>14.41</v>
      </c>
      <c r="K21" s="7">
        <v>12.550000000000001</v>
      </c>
      <c r="L21" s="7">
        <v>11.220000000000001</v>
      </c>
      <c r="M21" s="6"/>
      <c r="N21" s="6"/>
      <c r="O21" s="6"/>
      <c r="P21" s="6"/>
      <c r="Q21" s="7"/>
      <c r="R21" s="7"/>
      <c r="S21" s="7"/>
      <c r="T21" s="7"/>
      <c r="U21" s="6"/>
    </row>
    <row r="22" ht="14.25">
      <c r="A22" s="8" t="s">
        <v>32</v>
      </c>
      <c r="B22" s="8" t="s">
        <v>27</v>
      </c>
      <c r="C22" t="s">
        <v>30</v>
      </c>
      <c r="D22" s="8">
        <v>4</v>
      </c>
      <c r="E22" s="3">
        <v>564.24000000000001</v>
      </c>
      <c r="F22" s="4">
        <v>376.38999999999999</v>
      </c>
      <c r="G22" s="9">
        <v>0</v>
      </c>
      <c r="H22" s="9">
        <v>35.329999999999998</v>
      </c>
      <c r="I22" s="5">
        <v>32.299999999999997</v>
      </c>
      <c r="J22" s="7">
        <v>20.390000000000001</v>
      </c>
      <c r="K22" s="7">
        <v>14.33</v>
      </c>
      <c r="L22" s="8">
        <v>11.56</v>
      </c>
      <c r="M22" s="6"/>
      <c r="N22" s="6"/>
      <c r="O22" s="6"/>
      <c r="P22" s="6"/>
      <c r="Q22" s="7"/>
      <c r="R22" s="7"/>
      <c r="S22" s="7"/>
      <c r="T22" s="7"/>
      <c r="U22" s="6"/>
    </row>
    <row r="23" ht="14.25">
      <c r="A23" s="8" t="s">
        <v>32</v>
      </c>
      <c r="B23" s="8" t="s">
        <v>27</v>
      </c>
      <c r="C23" t="s">
        <v>31</v>
      </c>
      <c r="D23" s="8">
        <v>4</v>
      </c>
      <c r="E23" s="3">
        <v>564.24000000000001</v>
      </c>
      <c r="F23" s="4">
        <v>376.38999999999999</v>
      </c>
      <c r="G23" s="9">
        <v>0</v>
      </c>
      <c r="H23" s="9">
        <v>38.270000000000003</v>
      </c>
      <c r="I23" s="5">
        <v>34.299999999999997</v>
      </c>
      <c r="J23" s="7">
        <v>20.390000000000001</v>
      </c>
      <c r="K23" s="7">
        <v>14.33</v>
      </c>
      <c r="L23" s="8">
        <v>11.56</v>
      </c>
      <c r="M23" s="6"/>
      <c r="N23" s="6"/>
      <c r="O23" s="6"/>
      <c r="P23" s="6"/>
      <c r="Q23" s="7"/>
      <c r="R23" s="7"/>
      <c r="S23" s="7"/>
      <c r="T23" s="7"/>
      <c r="U23" s="6"/>
    </row>
    <row r="24" ht="14.25">
      <c r="A24" s="2" t="s">
        <v>33</v>
      </c>
      <c r="B24" t="s">
        <v>22</v>
      </c>
      <c r="C24" t="s">
        <v>23</v>
      </c>
      <c r="D24">
        <v>1</v>
      </c>
      <c r="E24" s="3">
        <v>26.399999999999999</v>
      </c>
      <c r="F24" s="4">
        <v>22</v>
      </c>
      <c r="G24" s="9">
        <v>0</v>
      </c>
      <c r="H24" s="4">
        <v>0</v>
      </c>
      <c r="I24" s="5">
        <v>11.07</v>
      </c>
      <c r="J24" s="5">
        <f t="shared" si="10"/>
        <v>11.07</v>
      </c>
      <c r="K24" s="5">
        <f t="shared" si="11"/>
        <v>11.07</v>
      </c>
      <c r="L24" s="5">
        <f t="shared" si="12"/>
        <v>11.07</v>
      </c>
      <c r="M24" s="6">
        <f>M13</f>
        <v>0.048399999999999999</v>
      </c>
      <c r="N24" s="6">
        <f>$M24</f>
        <v>0.048399999999999999</v>
      </c>
      <c r="O24" s="6">
        <f>$M24</f>
        <v>0.048399999999999999</v>
      </c>
      <c r="P24" s="6">
        <f>$M24</f>
        <v>0.048399999999999999</v>
      </c>
      <c r="Q24" s="7">
        <v>0</v>
      </c>
      <c r="R24" s="7">
        <v>0</v>
      </c>
      <c r="S24" s="7">
        <v>0</v>
      </c>
      <c r="T24" s="7">
        <v>0</v>
      </c>
      <c r="U24" s="6">
        <v>0</v>
      </c>
    </row>
    <row r="25" ht="14.25">
      <c r="A25" t="s">
        <v>33</v>
      </c>
      <c r="B25" s="8" t="s">
        <v>22</v>
      </c>
      <c r="C25" s="2" t="s">
        <v>23</v>
      </c>
      <c r="D25">
        <v>4</v>
      </c>
      <c r="E25" s="3">
        <v>26.399999999999999</v>
      </c>
      <c r="F25" s="4">
        <v>22</v>
      </c>
      <c r="G25" s="9">
        <v>0</v>
      </c>
      <c r="H25" s="4">
        <v>0</v>
      </c>
      <c r="I25" s="5">
        <v>10.109999999999999</v>
      </c>
      <c r="J25" s="5">
        <f t="shared" si="10"/>
        <v>10.109999999999999</v>
      </c>
      <c r="K25" s="5">
        <f t="shared" si="11"/>
        <v>10.109999999999999</v>
      </c>
      <c r="L25" s="5">
        <f t="shared" si="12"/>
        <v>10.109999999999999</v>
      </c>
      <c r="M25" s="6">
        <f>M$18</f>
        <v>0.075200000000000003</v>
      </c>
      <c r="N25" s="6">
        <f>N$18</f>
        <v>0.040300000000000002</v>
      </c>
      <c r="O25" s="6">
        <f>O$18</f>
        <v>0.017299999999999999</v>
      </c>
      <c r="P25" s="6">
        <f>P$18</f>
        <v>0.0121</v>
      </c>
      <c r="Q25" s="6">
        <f>Q$18</f>
        <v>0.0286</v>
      </c>
      <c r="R25" s="6">
        <f>R$18</f>
        <v>0.012800000000000001</v>
      </c>
      <c r="S25" s="6">
        <f>S$18</f>
        <v>0.0076</v>
      </c>
      <c r="T25" s="6">
        <f>T$18</f>
        <v>0.0048999999999999998</v>
      </c>
      <c r="U25" s="7">
        <v>0</v>
      </c>
    </row>
    <row r="26" ht="14.25">
      <c r="A26" t="s">
        <v>33</v>
      </c>
      <c r="B26" s="8" t="s">
        <v>22</v>
      </c>
      <c r="C26" t="s">
        <v>25</v>
      </c>
      <c r="D26" s="2">
        <v>2</v>
      </c>
      <c r="E26" s="3">
        <v>26.399999999999999</v>
      </c>
      <c r="F26" s="4">
        <v>22</v>
      </c>
      <c r="G26" s="9">
        <v>0</v>
      </c>
      <c r="H26" s="4">
        <v>0</v>
      </c>
      <c r="I26" s="5">
        <v>13.49</v>
      </c>
      <c r="J26" s="5">
        <f t="shared" si="10"/>
        <v>13.49</v>
      </c>
      <c r="K26" s="5">
        <f t="shared" si="11"/>
        <v>13.49</v>
      </c>
      <c r="L26" s="5">
        <f t="shared" si="12"/>
        <v>13.49</v>
      </c>
      <c r="M26" s="6">
        <v>0.049399999999999999</v>
      </c>
      <c r="N26" s="6">
        <v>0.035000000000000003</v>
      </c>
      <c r="O26" s="6">
        <f>M$26</f>
        <v>0.049399999999999999</v>
      </c>
      <c r="P26" s="6">
        <f>N$26</f>
        <v>0.035000000000000003</v>
      </c>
      <c r="Q26" s="6">
        <f>O$26</f>
        <v>0.049399999999999999</v>
      </c>
      <c r="R26" s="6">
        <f>P$26</f>
        <v>0.035000000000000003</v>
      </c>
      <c r="S26" s="6">
        <f>Q$26</f>
        <v>0.049399999999999999</v>
      </c>
      <c r="T26" s="6">
        <f>R$26</f>
        <v>0.035000000000000003</v>
      </c>
      <c r="U26" s="7">
        <v>0</v>
      </c>
    </row>
    <row r="27" ht="14.25">
      <c r="A27" s="2" t="s">
        <v>33</v>
      </c>
      <c r="B27" t="s">
        <v>22</v>
      </c>
      <c r="C27" s="2" t="s">
        <v>25</v>
      </c>
      <c r="D27" s="2">
        <v>4</v>
      </c>
      <c r="E27" s="3">
        <v>26.399999999999999</v>
      </c>
      <c r="F27" s="4">
        <v>22</v>
      </c>
      <c r="G27" s="9">
        <v>0</v>
      </c>
      <c r="H27" s="4">
        <v>0</v>
      </c>
      <c r="I27" s="5">
        <v>12.119999999999999</v>
      </c>
      <c r="J27" s="5">
        <f t="shared" si="10"/>
        <v>12.119999999999999</v>
      </c>
      <c r="K27" s="5">
        <f t="shared" si="11"/>
        <v>12.119999999999999</v>
      </c>
      <c r="L27" s="5">
        <f t="shared" si="12"/>
        <v>12.119999999999999</v>
      </c>
      <c r="M27" s="7">
        <f>M$19</f>
        <v>0.070400000000000004</v>
      </c>
      <c r="N27" s="7">
        <f>N$19</f>
        <v>0.037600000000000001</v>
      </c>
      <c r="O27" s="7">
        <f>O$19</f>
        <v>0.0161</v>
      </c>
      <c r="P27" s="7">
        <f>P$19</f>
        <v>0.0115</v>
      </c>
      <c r="Q27" s="7">
        <f>Q$19</f>
        <v>0.025999999999999999</v>
      </c>
      <c r="R27" s="7">
        <f>R$19</f>
        <v>0.0123</v>
      </c>
      <c r="S27" s="7">
        <f>S$19</f>
        <v>0.0074999999999999997</v>
      </c>
      <c r="T27" s="7">
        <f>T$19</f>
        <v>0.0048999999999999998</v>
      </c>
      <c r="U27" s="7">
        <v>0</v>
      </c>
    </row>
    <row r="28" ht="14.25">
      <c r="A28" t="s">
        <v>33</v>
      </c>
      <c r="B28" t="s">
        <v>26</v>
      </c>
      <c r="C28" s="2" t="s">
        <v>23</v>
      </c>
      <c r="D28" s="2">
        <v>4</v>
      </c>
      <c r="E28" s="3">
        <v>358.80000000000001</v>
      </c>
      <c r="F28" s="4">
        <v>283.26999999999998</v>
      </c>
      <c r="G28" s="9">
        <v>0</v>
      </c>
      <c r="H28" s="4">
        <v>0</v>
      </c>
      <c r="I28" s="5">
        <f t="shared" ref="I28:I29" si="17">I16</f>
        <v>17.609999999999999</v>
      </c>
      <c r="J28" s="5">
        <f t="shared" ref="J28:J29" si="18">J16</f>
        <v>15.960000000000001</v>
      </c>
      <c r="K28" s="5">
        <f t="shared" ref="K28:K29" si="19">K16</f>
        <v>14.56</v>
      </c>
      <c r="L28" s="5">
        <f t="shared" ref="L28:L29" si="20">L16</f>
        <v>11.98</v>
      </c>
      <c r="M28" s="5">
        <f t="shared" ref="M28:M29" si="21">M16</f>
        <v>0.069400000000000003</v>
      </c>
      <c r="N28" s="5">
        <f t="shared" ref="N28:N29" si="22">N16</f>
        <v>0.042500000000000003</v>
      </c>
      <c r="O28" s="5">
        <f t="shared" ref="O28:O29" si="23">O16</f>
        <v>0.021899999999999999</v>
      </c>
      <c r="P28" s="5">
        <f t="shared" ref="P28:P29" si="24">P16</f>
        <v>0.0155</v>
      </c>
      <c r="Q28" s="5">
        <f t="shared" ref="Q28:Q29" si="25">Q16</f>
        <v>0.025499999999999998</v>
      </c>
      <c r="R28" s="5">
        <f t="shared" ref="R28:R29" si="26">R16</f>
        <v>0.0141</v>
      </c>
      <c r="S28" s="5">
        <f t="shared" ref="S28:S29" si="27">S16</f>
        <v>0.010699999999999999</v>
      </c>
      <c r="T28" s="5">
        <f t="shared" ref="T28:T29" si="28">T16</f>
        <v>0.0070000000000000001</v>
      </c>
      <c r="U28" s="7">
        <v>12.65</v>
      </c>
    </row>
    <row r="29" ht="14.25">
      <c r="A29" s="8" t="s">
        <v>33</v>
      </c>
      <c r="B29" s="8" t="s">
        <v>26</v>
      </c>
      <c r="C29" s="2" t="s">
        <v>24</v>
      </c>
      <c r="D29">
        <v>4</v>
      </c>
      <c r="E29" s="3">
        <v>358.80000000000001</v>
      </c>
      <c r="F29" s="4">
        <v>283.26999999999998</v>
      </c>
      <c r="G29" s="9">
        <v>0</v>
      </c>
      <c r="H29" s="4">
        <v>0</v>
      </c>
      <c r="I29" s="5">
        <f t="shared" si="17"/>
        <v>30.16</v>
      </c>
      <c r="J29" s="5">
        <f t="shared" si="18"/>
        <v>21.18</v>
      </c>
      <c r="K29" s="5">
        <f t="shared" si="19"/>
        <v>16.640000000000001</v>
      </c>
      <c r="L29" s="5">
        <f t="shared" si="20"/>
        <v>12.369999999999999</v>
      </c>
      <c r="M29" s="5">
        <f t="shared" si="21"/>
        <v>0.057599999999999998</v>
      </c>
      <c r="N29" s="5">
        <f t="shared" si="22"/>
        <v>0.035000000000000003</v>
      </c>
      <c r="O29" s="5">
        <f t="shared" si="23"/>
        <v>0.0206</v>
      </c>
      <c r="P29" s="5">
        <f t="shared" si="24"/>
        <v>0.0154</v>
      </c>
      <c r="Q29" s="5">
        <f t="shared" si="25"/>
        <v>0.0223</v>
      </c>
      <c r="R29" s="5">
        <f t="shared" si="26"/>
        <v>0.012999999999999999</v>
      </c>
      <c r="S29" s="5">
        <f t="shared" si="27"/>
        <v>0.0101</v>
      </c>
      <c r="T29" s="5">
        <f t="shared" si="28"/>
        <v>0.0068999999999999999</v>
      </c>
      <c r="U29" s="7">
        <v>12.65</v>
      </c>
    </row>
    <row r="30" ht="14.25">
      <c r="A30" s="8" t="s">
        <v>33</v>
      </c>
      <c r="B30" s="8" t="s">
        <v>27</v>
      </c>
      <c r="C30" s="8" t="s">
        <v>28</v>
      </c>
      <c r="D30" s="8">
        <v>4</v>
      </c>
      <c r="E30" s="3">
        <v>717.60000000000002</v>
      </c>
      <c r="F30" s="4">
        <v>376.38999999999999</v>
      </c>
      <c r="G30" s="9">
        <v>0</v>
      </c>
      <c r="H30" s="9">
        <v>14.41</v>
      </c>
      <c r="I30" s="5">
        <v>14.140000000000001</v>
      </c>
      <c r="J30" s="5">
        <v>14.41</v>
      </c>
      <c r="K30" s="7">
        <v>12.550000000000001</v>
      </c>
      <c r="L30" s="7">
        <v>11.220000000000001</v>
      </c>
      <c r="M30" s="5"/>
      <c r="N30" s="5"/>
      <c r="O30" s="5"/>
      <c r="P30" s="5"/>
      <c r="Q30" s="5"/>
      <c r="R30" s="5"/>
      <c r="S30" s="5"/>
      <c r="T30" s="5"/>
      <c r="U30" s="7"/>
    </row>
    <row r="31" ht="14.25">
      <c r="A31" t="s">
        <v>33</v>
      </c>
      <c r="B31" s="8" t="s">
        <v>27</v>
      </c>
      <c r="C31" s="8" t="s">
        <v>29</v>
      </c>
      <c r="D31" s="8">
        <v>4</v>
      </c>
      <c r="E31" s="3">
        <v>717.60000000000002</v>
      </c>
      <c r="F31" s="4">
        <v>376.38999999999999</v>
      </c>
      <c r="G31" s="9">
        <v>0</v>
      </c>
      <c r="H31" s="9">
        <v>14.41</v>
      </c>
      <c r="I31" s="5">
        <v>14.140000000000001</v>
      </c>
      <c r="J31" s="5">
        <v>14.41</v>
      </c>
      <c r="K31" s="7">
        <v>12.550000000000001</v>
      </c>
      <c r="L31" s="7">
        <v>11.220000000000001</v>
      </c>
      <c r="M31" s="5"/>
      <c r="N31" s="5"/>
      <c r="O31" s="5"/>
      <c r="P31" s="5"/>
      <c r="Q31" s="5"/>
      <c r="R31" s="5"/>
      <c r="S31" s="5"/>
      <c r="T31" s="5"/>
      <c r="U31" s="7"/>
    </row>
    <row r="32" ht="14.25">
      <c r="A32" s="8" t="s">
        <v>33</v>
      </c>
      <c r="B32" s="8" t="s">
        <v>27</v>
      </c>
      <c r="C32" s="8" t="s">
        <v>30</v>
      </c>
      <c r="D32" s="8">
        <v>4</v>
      </c>
      <c r="E32" s="3">
        <v>717.60000000000002</v>
      </c>
      <c r="F32" s="4">
        <v>376.38999999999999</v>
      </c>
      <c r="G32" s="9">
        <v>0</v>
      </c>
      <c r="H32" s="9">
        <v>35.329999999999998</v>
      </c>
      <c r="I32" s="5">
        <v>32.299999999999997</v>
      </c>
      <c r="J32" s="7">
        <v>20.390000000000001</v>
      </c>
      <c r="K32" s="7">
        <v>14.33</v>
      </c>
      <c r="L32" s="8">
        <v>11.56</v>
      </c>
      <c r="M32" s="5"/>
      <c r="N32" s="5"/>
      <c r="O32" s="5"/>
      <c r="P32" s="5"/>
      <c r="Q32" s="5"/>
      <c r="R32" s="5"/>
      <c r="S32" s="5"/>
      <c r="T32" s="5"/>
      <c r="U32" s="7"/>
    </row>
    <row r="33" ht="14.25">
      <c r="A33" s="8" t="s">
        <v>33</v>
      </c>
      <c r="B33" s="8" t="s">
        <v>27</v>
      </c>
      <c r="C33" s="8" t="s">
        <v>31</v>
      </c>
      <c r="D33" s="8">
        <v>4</v>
      </c>
      <c r="E33" s="3">
        <v>717.60000000000002</v>
      </c>
      <c r="F33" s="4">
        <v>376.38999999999999</v>
      </c>
      <c r="G33" s="9">
        <v>0</v>
      </c>
      <c r="H33" s="9">
        <v>38.270000000000003</v>
      </c>
      <c r="I33" s="5">
        <v>34.299999999999997</v>
      </c>
      <c r="J33" s="7">
        <v>20.390000000000001</v>
      </c>
      <c r="K33" s="7">
        <v>14.33</v>
      </c>
      <c r="L33" s="8">
        <v>11.56</v>
      </c>
      <c r="M33" s="5"/>
      <c r="N33" s="5"/>
      <c r="O33" s="5"/>
      <c r="P33" s="5"/>
      <c r="Q33" s="5"/>
      <c r="R33" s="5"/>
      <c r="S33" s="5"/>
      <c r="T33" s="5"/>
      <c r="U33" s="7"/>
    </row>
    <row r="34" ht="14.25">
      <c r="A34" s="8" t="s">
        <v>34</v>
      </c>
      <c r="B34" s="8" t="s">
        <v>27</v>
      </c>
      <c r="D34" s="2">
        <v>0</v>
      </c>
      <c r="E34" s="3">
        <v>628.33000000000004</v>
      </c>
      <c r="F34" s="4">
        <v>376.38999999999999</v>
      </c>
      <c r="G34" s="9">
        <v>0</v>
      </c>
      <c r="H34" s="4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</row>
    <row r="35" ht="14.25">
      <c r="A35" s="8" t="s">
        <v>34</v>
      </c>
      <c r="B35" s="8" t="s">
        <v>22</v>
      </c>
      <c r="C35" s="2"/>
      <c r="D35" s="2">
        <v>0</v>
      </c>
      <c r="E35" s="3">
        <v>22.530000000000001</v>
      </c>
      <c r="F35" s="4">
        <v>22</v>
      </c>
      <c r="G35" s="9">
        <v>0</v>
      </c>
      <c r="H35" s="9">
        <v>0</v>
      </c>
      <c r="I35" s="5">
        <v>0</v>
      </c>
      <c r="J35" s="5">
        <f>$I35</f>
        <v>0</v>
      </c>
      <c r="K35" s="5">
        <f>$I35</f>
        <v>0</v>
      </c>
      <c r="L35" s="5">
        <f>$I35</f>
        <v>0</v>
      </c>
      <c r="M35" s="5">
        <f>$I35</f>
        <v>0</v>
      </c>
      <c r="N35" s="5">
        <f>$I35</f>
        <v>0</v>
      </c>
      <c r="O35" s="5">
        <f>$I35</f>
        <v>0</v>
      </c>
      <c r="P35" s="5">
        <f>$I35</f>
        <v>0</v>
      </c>
      <c r="Q35" s="5">
        <f>$I35</f>
        <v>0</v>
      </c>
      <c r="R35" s="5">
        <f>$I35</f>
        <v>0</v>
      </c>
      <c r="S35" s="5">
        <f>$I35</f>
        <v>0</v>
      </c>
      <c r="T35" s="5">
        <f>$I35</f>
        <v>0</v>
      </c>
      <c r="U35" s="5">
        <f>$I35</f>
        <v>0</v>
      </c>
    </row>
    <row r="36" ht="14.25">
      <c r="A36" s="8" t="s">
        <v>34</v>
      </c>
      <c r="B36" s="8" t="s">
        <v>26</v>
      </c>
      <c r="C36" s="2"/>
      <c r="D36" s="2">
        <v>0</v>
      </c>
      <c r="E36" s="3">
        <v>314.17000000000002</v>
      </c>
      <c r="F36" s="4">
        <v>283.26999999999998</v>
      </c>
      <c r="G36" s="9">
        <v>0</v>
      </c>
      <c r="H36" s="9">
        <v>0</v>
      </c>
      <c r="I36" s="5">
        <f>G$36</f>
        <v>0</v>
      </c>
      <c r="J36" s="5">
        <f>I$36</f>
        <v>0</v>
      </c>
      <c r="K36" s="5">
        <f>J$36</f>
        <v>0</v>
      </c>
      <c r="L36" s="5">
        <f>K$36</f>
        <v>0</v>
      </c>
      <c r="M36" s="5">
        <f>L$36</f>
        <v>0</v>
      </c>
      <c r="N36" s="5">
        <f>M$36</f>
        <v>0</v>
      </c>
      <c r="O36" s="5">
        <f>N$36</f>
        <v>0</v>
      </c>
      <c r="P36" s="5">
        <f>O$36</f>
        <v>0</v>
      </c>
      <c r="Q36" s="5">
        <f>P$36</f>
        <v>0</v>
      </c>
      <c r="R36" s="5">
        <f>Q$36</f>
        <v>0</v>
      </c>
      <c r="S36" s="5">
        <f>R$36</f>
        <v>0</v>
      </c>
      <c r="T36" s="5">
        <f>S$36</f>
        <v>0</v>
      </c>
      <c r="U36" s="5">
        <f>T$36</f>
        <v>0</v>
      </c>
    </row>
    <row r="42" ht="14.25">
      <c r="E42" s="9"/>
      <c r="G42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Picouet</cp:lastModifiedBy>
  <cp:revision>15</cp:revision>
  <dcterms:modified xsi:type="dcterms:W3CDTF">2025-10-28T10:35:49Z</dcterms:modified>
</cp:coreProperties>
</file>